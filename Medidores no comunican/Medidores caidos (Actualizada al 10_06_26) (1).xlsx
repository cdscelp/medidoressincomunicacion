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PRodriguez\Downloads\Nueva carpeta\"/>
    </mc:Choice>
  </mc:AlternateContent>
  <xr:revisionPtr revIDLastSave="0" documentId="13_ncr:1_{2EDDADCE-C3B4-47CB-8C13-14421578FDEC}" xr6:coauthVersionLast="47" xr6:coauthVersionMax="47" xr10:uidLastSave="{00000000-0000-0000-0000-000000000000}"/>
  <bookViews>
    <workbookView xWindow="26940" yWindow="2940" windowWidth="18000" windowHeight="9360" xr2:uid="{00000000-000D-0000-FFFF-FFFF00000000}"/>
  </bookViews>
  <sheets>
    <sheet name="Hoja 1" sheetId="1" r:id="rId1"/>
  </sheets>
  <definedNames>
    <definedName name="_xlnm._FilterDatabase" localSheetId="0" hidden="1">'Hoja 1'!$A$1:$AC$653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8" i="1"/>
  <c r="E19" i="1"/>
  <c r="E20" i="1"/>
  <c r="E21" i="1"/>
  <c r="E22" i="1"/>
  <c r="E23" i="1"/>
  <c r="E24" i="1"/>
  <c r="E25" i="1"/>
  <c r="E27" i="1"/>
  <c r="E30" i="1"/>
  <c r="E31" i="1"/>
  <c r="E32" i="1"/>
  <c r="E33" i="1"/>
  <c r="E34" i="1"/>
  <c r="E38" i="1"/>
  <c r="E39" i="1"/>
  <c r="E40" i="1"/>
  <c r="E41" i="1"/>
  <c r="E42" i="1"/>
  <c r="E43" i="1"/>
  <c r="E44" i="1"/>
  <c r="E45" i="1"/>
  <c r="E46" i="1"/>
  <c r="E48" i="1"/>
  <c r="E49" i="1"/>
  <c r="E50" i="1"/>
  <c r="E51" i="1"/>
  <c r="E52" i="1"/>
  <c r="E53" i="1"/>
  <c r="E54" i="1"/>
  <c r="E55" i="1"/>
  <c r="E56" i="1"/>
  <c r="E57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4" i="1"/>
  <c r="E115" i="1"/>
  <c r="E116" i="1"/>
  <c r="E117" i="1"/>
  <c r="E118" i="1"/>
  <c r="E119" i="1"/>
  <c r="E120" i="1"/>
  <c r="E121" i="1"/>
  <c r="E122" i="1"/>
  <c r="E123" i="1"/>
  <c r="E129" i="1"/>
  <c r="E130" i="1"/>
  <c r="E147" i="1"/>
  <c r="E148" i="1"/>
  <c r="E149" i="1"/>
  <c r="E150" i="1"/>
  <c r="E151" i="1"/>
  <c r="E152" i="1"/>
  <c r="E153" i="1"/>
  <c r="E157" i="1"/>
  <c r="E158" i="1"/>
  <c r="E162" i="1"/>
  <c r="E167" i="1"/>
  <c r="E168" i="1"/>
  <c r="E169" i="1"/>
  <c r="E170" i="1"/>
  <c r="E171" i="1"/>
  <c r="E185" i="1"/>
</calcChain>
</file>

<file path=xl/sharedStrings.xml><?xml version="1.0" encoding="utf-8"?>
<sst xmlns="http://schemas.openxmlformats.org/spreadsheetml/2006/main" count="1136" uniqueCount="810">
  <si>
    <t>MEDIDOR</t>
  </si>
  <si>
    <t>BANDA</t>
  </si>
  <si>
    <t>CLIENTE</t>
  </si>
  <si>
    <t>UBICACION</t>
  </si>
  <si>
    <t>ESTADO</t>
  </si>
  <si>
    <t>ULTIMA LECTURA</t>
  </si>
  <si>
    <t>FECHA/HORA</t>
  </si>
  <si>
    <t>NUMERACIÓN</t>
  </si>
  <si>
    <t>OBSERVACIONES</t>
  </si>
  <si>
    <t>DIGA00037046</t>
  </si>
  <si>
    <t>Multibanda</t>
  </si>
  <si>
    <t>Socorro</t>
  </si>
  <si>
    <t>-</t>
  </si>
  <si>
    <t>Sin comunicacion</t>
  </si>
  <si>
    <t>21799481,568 Kwh.</t>
  </si>
  <si>
    <t>26/05/26 - 06:58 Hs.</t>
  </si>
  <si>
    <t>Orden N° 331797 Revisar S/C</t>
  </si>
  <si>
    <t>DIGA00047342</t>
  </si>
  <si>
    <t>Monobanda</t>
  </si>
  <si>
    <t>Conexpor S.A.</t>
  </si>
  <si>
    <t>Lectura anormal</t>
  </si>
  <si>
    <t>46567,010 Kwh.</t>
  </si>
  <si>
    <t>22/04/26 - 08:29 Hs.</t>
  </si>
  <si>
    <t>Orden: 331400</t>
  </si>
  <si>
    <t>DIGA00081686</t>
  </si>
  <si>
    <t>La Vanguardia - Pearson</t>
  </si>
  <si>
    <t>610815,180 Kwh.</t>
  </si>
  <si>
    <t>20/05/26 - 03:21 Hs.</t>
  </si>
  <si>
    <t>DIGA00098868</t>
  </si>
  <si>
    <t>Mechita S.A.</t>
  </si>
  <si>
    <t>1112446,008 Kwh.</t>
  </si>
  <si>
    <t>06/06/26 - 17:46 Hs.</t>
  </si>
  <si>
    <t>DIGA00106818</t>
  </si>
  <si>
    <t>Coop. Electrica Lta de Pearson</t>
  </si>
  <si>
    <t>21218,688 Kwh.</t>
  </si>
  <si>
    <t>16/05/26 - 08:10 Hs.</t>
  </si>
  <si>
    <t>DIGA00114069</t>
  </si>
  <si>
    <t>Obras Sanitarias S.E. 95</t>
  </si>
  <si>
    <t>Champagnat 2499</t>
  </si>
  <si>
    <t>866299,554 Kwh.</t>
  </si>
  <si>
    <t>16/11/25 - 00:11 Hs.</t>
  </si>
  <si>
    <t>Cambio (no prende), Orden: 331128</t>
  </si>
  <si>
    <t>DIGA00150969</t>
  </si>
  <si>
    <t>Sovica Aceros S.A.</t>
  </si>
  <si>
    <t>Manuel Galvez 2400</t>
  </si>
  <si>
    <t>42085,020 Kwh.</t>
  </si>
  <si>
    <t>05/05/26 - 10:00 Hs.</t>
  </si>
  <si>
    <t xml:space="preserve">Se comunica cuando la empresa tiene producción. </t>
  </si>
  <si>
    <t>DIGA00157261</t>
  </si>
  <si>
    <t>Municipalidad de Pergamino</t>
  </si>
  <si>
    <t>San Martin 579</t>
  </si>
  <si>
    <t>0 kwh.</t>
  </si>
  <si>
    <t>07/05/25 - 07:37 Hs.</t>
  </si>
  <si>
    <t>No se puso en funcionamiento hasta que no se termine la obra.</t>
  </si>
  <si>
    <t>DIWA00106923</t>
  </si>
  <si>
    <t>Municipalidad De Per</t>
  </si>
  <si>
    <t>Merced 199</t>
  </si>
  <si>
    <t>160934,000 Kwh.</t>
  </si>
  <si>
    <t>25/06/25 - 08:45 Hs.</t>
  </si>
  <si>
    <t>DMGA00031014</t>
  </si>
  <si>
    <t>Del Oso Matias Esequiel</t>
  </si>
  <si>
    <t xml:space="preserve">41120,980 Kwh. </t>
  </si>
  <si>
    <t>02/03/26 - 23:46 Hs.</t>
  </si>
  <si>
    <t>DMGA00031726</t>
  </si>
  <si>
    <t>Vignetta Gaston Oscar</t>
  </si>
  <si>
    <t>17131,457 Kwh.</t>
  </si>
  <si>
    <t>26/04/26 - 04:33 Hs.</t>
  </si>
  <si>
    <t>DMGA00031748</t>
  </si>
  <si>
    <t>Taddei Nelida Merdedes (Ex Pizzi)</t>
  </si>
  <si>
    <t>16206,628 Kwh</t>
  </si>
  <si>
    <t>28/04/25 - 07:31 Hs.</t>
  </si>
  <si>
    <t>DMGA00040647</t>
  </si>
  <si>
    <t>Escuela No. 16 Ciriaco Morea (Colon)</t>
  </si>
  <si>
    <t>Camino Rural No. 1069</t>
  </si>
  <si>
    <t>4297,731 Kwh.</t>
  </si>
  <si>
    <t>07/05/24 - 15:06 Hs.</t>
  </si>
  <si>
    <t>DMGA00040687</t>
  </si>
  <si>
    <t xml:space="preserve">Lamelas Andrea Fabiana </t>
  </si>
  <si>
    <t>2991,737 Kwh.</t>
  </si>
  <si>
    <t>22/04/26 - 08:46 Hs.</t>
  </si>
  <si>
    <t>DMGA00043005</t>
  </si>
  <si>
    <t>Campo El Centinela De Pergamino S.A.</t>
  </si>
  <si>
    <t>Camino Rural 1015</t>
  </si>
  <si>
    <t>943,264 Kwh.</t>
  </si>
  <si>
    <t>22/04/26 - 08:47 Hs.</t>
  </si>
  <si>
    <t>DMGA00043007</t>
  </si>
  <si>
    <t>Fiorio Pedro y Fiorio Andres</t>
  </si>
  <si>
    <t>130,374 Kwh.</t>
  </si>
  <si>
    <t>20/09/25 - 19:09 Hs.</t>
  </si>
  <si>
    <t>DMGA00043011</t>
  </si>
  <si>
    <t>Gigena Diego Matias</t>
  </si>
  <si>
    <t>Camino Rural Peña</t>
  </si>
  <si>
    <t>1463,112 Kwh.</t>
  </si>
  <si>
    <t>14/04/26 - 19:15 Hs.</t>
  </si>
  <si>
    <t>DMGA00043014</t>
  </si>
  <si>
    <t>Alpagro S.A.</t>
  </si>
  <si>
    <t>Camino Rural No. 42</t>
  </si>
  <si>
    <t>9557,340 Kwh.</t>
  </si>
  <si>
    <t>01/09/25 - 00:00 Hs.</t>
  </si>
  <si>
    <t>DMGA00043087</t>
  </si>
  <si>
    <t>Camino Rural No. 1068</t>
  </si>
  <si>
    <t>DMGA00043088</t>
  </si>
  <si>
    <t>Camino Rural No. 1067</t>
  </si>
  <si>
    <t>DMGA00043089</t>
  </si>
  <si>
    <t>Sanchez Jose Miguel</t>
  </si>
  <si>
    <t>Camino Rural No. 1025</t>
  </si>
  <si>
    <t>DMGA00043092</t>
  </si>
  <si>
    <t xml:space="preserve">Agropecuaria Juarpa S.A. </t>
  </si>
  <si>
    <t>1859,298 Kwh.</t>
  </si>
  <si>
    <t>22/04/26 - 08:51 Hs.</t>
  </si>
  <si>
    <t>DMGA00046086</t>
  </si>
  <si>
    <t>Viera Hernan</t>
  </si>
  <si>
    <t>Bv. Colon 752 Dto. 4</t>
  </si>
  <si>
    <t>11554,953 Kwh.</t>
  </si>
  <si>
    <t>22/04/26 - 03:57 Hs.</t>
  </si>
  <si>
    <t>DMGA00046090</t>
  </si>
  <si>
    <t>Sijoma S.A.</t>
  </si>
  <si>
    <t>16666,274 Kwh.</t>
  </si>
  <si>
    <t>04/11/25 - 07:18 Hs.</t>
  </si>
  <si>
    <t>DMGA00046107</t>
  </si>
  <si>
    <t xml:space="preserve">Marjoma S.A. </t>
  </si>
  <si>
    <t>Ruta 188 63</t>
  </si>
  <si>
    <t>4833,440 Kwh.</t>
  </si>
  <si>
    <t>11/03/26 - 20:48 Hs.</t>
  </si>
  <si>
    <t>DMGA00046110</t>
  </si>
  <si>
    <t>Roca Francisco</t>
  </si>
  <si>
    <t>Camino Rural 1028</t>
  </si>
  <si>
    <t>75,367 Kwh.</t>
  </si>
  <si>
    <t>06/02/26 - 12:41 Hs.</t>
  </si>
  <si>
    <t>DMGA00049361</t>
  </si>
  <si>
    <t>Usero Ruben Edgado</t>
  </si>
  <si>
    <t>Ruta 178   6</t>
  </si>
  <si>
    <t>2125,253 Kwh.</t>
  </si>
  <si>
    <t xml:space="preserve">27/04/26 - 07:34 Hs. </t>
  </si>
  <si>
    <t>DMGA00049362</t>
  </si>
  <si>
    <t>El Otoño S.A.</t>
  </si>
  <si>
    <t>Ruta 178  1 Dto. 16</t>
  </si>
  <si>
    <t>202,457 Kwh.</t>
  </si>
  <si>
    <t>07/04/26 - 12:47 Hs.</t>
  </si>
  <si>
    <t>DMGA00049381</t>
  </si>
  <si>
    <t>Carnevale Susana Beatriz</t>
  </si>
  <si>
    <t>Ortiz Basualdo No. 1</t>
  </si>
  <si>
    <t>529,157 Kwh.</t>
  </si>
  <si>
    <t>31/12/25 - 01:17 Hs.</t>
  </si>
  <si>
    <t>DMGA00049387</t>
  </si>
  <si>
    <t>Santa Rosa S.A.</t>
  </si>
  <si>
    <t>8662,987 Kwh.</t>
  </si>
  <si>
    <t>17/10/24 - 05:23 Hs.</t>
  </si>
  <si>
    <t>DMGA00049398</t>
  </si>
  <si>
    <t>Camino Rural No. 1072</t>
  </si>
  <si>
    <t>28047,596 Kwh.</t>
  </si>
  <si>
    <t>20/02/26 - 23:55 Hs.</t>
  </si>
  <si>
    <t>DMGA00049399</t>
  </si>
  <si>
    <t>Balague Hugo Demetrio</t>
  </si>
  <si>
    <t>Ruta 178  No. 7</t>
  </si>
  <si>
    <t>1735,984 Kwh.</t>
  </si>
  <si>
    <t>26/04/25 - 13:33 Hs.</t>
  </si>
  <si>
    <t>DMGA00049403</t>
  </si>
  <si>
    <t xml:space="preserve">Escuela N° 36 Paraje Santa Rosa </t>
  </si>
  <si>
    <t>Camino Rural 1054</t>
  </si>
  <si>
    <t>41328,803 Kwh.</t>
  </si>
  <si>
    <t>29/04/26 - 21:03 Hs.</t>
  </si>
  <si>
    <t>DMGA00049413</t>
  </si>
  <si>
    <t>Municipio de Pergamino Alum. Público</t>
  </si>
  <si>
    <t>134,207 Kwh.</t>
  </si>
  <si>
    <t>25/04/26 - 18:18 Hs.</t>
  </si>
  <si>
    <t>DMGA00049414</t>
  </si>
  <si>
    <t>Marchisella Sandra Carina</t>
  </si>
  <si>
    <t>Pueyrredon 514</t>
  </si>
  <si>
    <t>25170,098 Kwh.</t>
  </si>
  <si>
    <t>21/03/26 - 00:03 Hs.</t>
  </si>
  <si>
    <t>DMGA00049960</t>
  </si>
  <si>
    <t>Civerchia Luis Nazareno</t>
  </si>
  <si>
    <t>364,235 Kwh.</t>
  </si>
  <si>
    <t>31/05/26 - 08:39 Hs.</t>
  </si>
  <si>
    <t>DMPA00036585</t>
  </si>
  <si>
    <t>Salse Sofia</t>
  </si>
  <si>
    <t>San Nicolas 820</t>
  </si>
  <si>
    <t>10208,783 Kwh.</t>
  </si>
  <si>
    <t>27/09/25 - 09:46 Hs.</t>
  </si>
  <si>
    <t>DMPA00036757</t>
  </si>
  <si>
    <t>Servino Martin</t>
  </si>
  <si>
    <t>11 De Septiembre 834 P. 2 Dto. A</t>
  </si>
  <si>
    <t>14447,728 Kwh.</t>
  </si>
  <si>
    <t>11/11/25 - 08:53 Hs.</t>
  </si>
  <si>
    <t>DMPA00036758</t>
  </si>
  <si>
    <t>Olivero Lucas Cesar</t>
  </si>
  <si>
    <t>San Nicolas 555 Dto. 22</t>
  </si>
  <si>
    <t>9822,994 Kwh.</t>
  </si>
  <si>
    <t>13/10/25 - 08:32 Hs.</t>
  </si>
  <si>
    <t>DMPA00036766</t>
  </si>
  <si>
    <t>Maccagno Hector Alberto</t>
  </si>
  <si>
    <t>Florida 807 Piso 6</t>
  </si>
  <si>
    <t>16142,972 Kwh.</t>
  </si>
  <si>
    <t>09/06/26 - 18:33 Hs.</t>
  </si>
  <si>
    <t>DMPA00038554</t>
  </si>
  <si>
    <t>Salvi Silvia</t>
  </si>
  <si>
    <t>Mitre  619  P.3 Dto. C</t>
  </si>
  <si>
    <t>SIN DATOS</t>
  </si>
  <si>
    <t>DMPA00038560</t>
  </si>
  <si>
    <t>Quiroga Leonel Dario</t>
  </si>
  <si>
    <t>Pueyrredon 519</t>
  </si>
  <si>
    <t>7522,941 Kwh.</t>
  </si>
  <si>
    <t>26/09/25 - 07:20 Hs.</t>
  </si>
  <si>
    <t>DMPA00038561</t>
  </si>
  <si>
    <t>Lavezzari Renne Oscar</t>
  </si>
  <si>
    <t>Florida 815 Piso 7 Dto. B</t>
  </si>
  <si>
    <t>10101,011 Kwh.</t>
  </si>
  <si>
    <t>08/12/24 - 17:55 Hs.</t>
  </si>
  <si>
    <t>DMPA00038562</t>
  </si>
  <si>
    <t>Castellari Nelida Elvia</t>
  </si>
  <si>
    <t>25 de Mayo 650 P:6</t>
  </si>
  <si>
    <t>6708,856 Kwh.</t>
  </si>
  <si>
    <t>21/07/25 - 08:55 Hs.</t>
  </si>
  <si>
    <t>DMPA00038578</t>
  </si>
  <si>
    <t>Casa Romero S.R.L.</t>
  </si>
  <si>
    <t>Pueyrredon 566 P. 3</t>
  </si>
  <si>
    <t>24907,855 Kwh.</t>
  </si>
  <si>
    <t>06/11/25 - 08:20 Hs.</t>
  </si>
  <si>
    <t>DMPA00038579</t>
  </si>
  <si>
    <t>Los Portugueses S.A.</t>
  </si>
  <si>
    <t>Pueyrredon 536</t>
  </si>
  <si>
    <t>20982,174 Kwh.</t>
  </si>
  <si>
    <t>08/09/25 - 07:29 Hs.</t>
  </si>
  <si>
    <t>DMPA00038585</t>
  </si>
  <si>
    <t>Klug Hector Nemecio</t>
  </si>
  <si>
    <t>Florida 815 Piso 1 Dto. A</t>
  </si>
  <si>
    <t>12653,318 Kwh.</t>
  </si>
  <si>
    <t>01/11/24 - 00:00 Hs.</t>
  </si>
  <si>
    <t>DMPA00038586</t>
  </si>
  <si>
    <t>Grigera Jorge Alberto</t>
  </si>
  <si>
    <t>Florida 815 P.10 Dto. A</t>
  </si>
  <si>
    <t>24662,028 Kwh.</t>
  </si>
  <si>
    <t>03/06/26 - 16:59 Hs.</t>
  </si>
  <si>
    <t>DMPA00077191</t>
  </si>
  <si>
    <t>Ojeda Claudio Ezequiel</t>
  </si>
  <si>
    <t>Dorrego 596</t>
  </si>
  <si>
    <t>4961,518 Kwh.</t>
  </si>
  <si>
    <t>10/05/24 - 09:40 Hs.</t>
  </si>
  <si>
    <t>DMPA00077200</t>
  </si>
  <si>
    <t>Lopez Sandra Ester</t>
  </si>
  <si>
    <t>San Nicolas 814</t>
  </si>
  <si>
    <t>5094,181 Kwh.</t>
  </si>
  <si>
    <t>18/02/26 - 07:36 Hs.</t>
  </si>
  <si>
    <t>DMPA00077473</t>
  </si>
  <si>
    <t>Bustamante Diego</t>
  </si>
  <si>
    <t>San Martin 632</t>
  </si>
  <si>
    <t>3827,641 Kwh.</t>
  </si>
  <si>
    <t>19/02/25 - 07:54 Hs.</t>
  </si>
  <si>
    <t>DMPA00077478</t>
  </si>
  <si>
    <t xml:space="preserve">Arechaga Diego Sebastián </t>
  </si>
  <si>
    <t>San Nicolas P.1 Dto. 4</t>
  </si>
  <si>
    <t>3036,183 Kwh.</t>
  </si>
  <si>
    <t>21/04/26 - 06:04 Hs.</t>
  </si>
  <si>
    <t>DMPA00077481</t>
  </si>
  <si>
    <t>Falcato Franco Alan Jesus</t>
  </si>
  <si>
    <t>Florida 508 P:5 Dto: A</t>
  </si>
  <si>
    <t>1087,535 Kwh.</t>
  </si>
  <si>
    <t>21/07/25 - 10:16 Hs.</t>
  </si>
  <si>
    <t>DMPA00077520</t>
  </si>
  <si>
    <t>Bonacalza Florencia Evangelina</t>
  </si>
  <si>
    <t>6389,460 Kwh.</t>
  </si>
  <si>
    <t>06/02/26 - 06:17 Hs.</t>
  </si>
  <si>
    <t>DMPA00077531</t>
  </si>
  <si>
    <t>Matias Valentin Roc</t>
  </si>
  <si>
    <t>Dorrego 639 P: 1 Depto: 6</t>
  </si>
  <si>
    <t>2970,891 Kwh.</t>
  </si>
  <si>
    <t>26/06/25 - 07:52 Hs.</t>
  </si>
  <si>
    <t>DMPA00077555</t>
  </si>
  <si>
    <t>Tessore Marisa Elsa</t>
  </si>
  <si>
    <t>San Nicolas 601</t>
  </si>
  <si>
    <t>11197,828 Kwh.</t>
  </si>
  <si>
    <t>14/01/26 - 17:48 Hs.</t>
  </si>
  <si>
    <t>DMPA00077591</t>
  </si>
  <si>
    <t>Zeballos Rolando Andres</t>
  </si>
  <si>
    <t>San Nicolas 435 Piso 2 Dto. 7</t>
  </si>
  <si>
    <t>5869,367 Kwh.</t>
  </si>
  <si>
    <t>11/04/25 - 08:26 Hs.</t>
  </si>
  <si>
    <t>DMPA00077613</t>
  </si>
  <si>
    <t>Benavidez Beatriz Lujan</t>
  </si>
  <si>
    <t>San Nicolas 493</t>
  </si>
  <si>
    <t>232,503 Kwh.</t>
  </si>
  <si>
    <t>26/08/25 - 07:34 Hs.</t>
  </si>
  <si>
    <t>DMPA00082579</t>
  </si>
  <si>
    <t>Castañares Carina Elisabet</t>
  </si>
  <si>
    <t>San Nicolas 527 P: 3 Depto: A</t>
  </si>
  <si>
    <t>4929,113 Kwh.</t>
  </si>
  <si>
    <t>24/06/25 - 09:58 Hs.</t>
  </si>
  <si>
    <t>DMPA00082584</t>
  </si>
  <si>
    <t>Olleros Crimai SRL</t>
  </si>
  <si>
    <t>San Nicolas 676</t>
  </si>
  <si>
    <t>1193,037 Kwh.</t>
  </si>
  <si>
    <t>04/06/26 - 02:05 Hs.</t>
  </si>
  <si>
    <t>DMPA00082590</t>
  </si>
  <si>
    <t xml:space="preserve">Tolesano Mauricio </t>
  </si>
  <si>
    <t>San Nicolas 422</t>
  </si>
  <si>
    <t>2728,514 Kwh.</t>
  </si>
  <si>
    <t>09/05/26 - 02:47 Hs.</t>
  </si>
  <si>
    <t>DMPA00082594</t>
  </si>
  <si>
    <t>PruebaIntegracion</t>
  </si>
  <si>
    <t>1019,063 Kwh.</t>
  </si>
  <si>
    <t>04/06/24 - 12:42 Hs.</t>
  </si>
  <si>
    <t>DMPA00082642</t>
  </si>
  <si>
    <t>De Iraola Enzo Martin</t>
  </si>
  <si>
    <t>San Nicolas 821 Piso 1 Dto. 1</t>
  </si>
  <si>
    <t>1768,511 Kwh.</t>
  </si>
  <si>
    <t>15/08/24 - 09:27 Hs.</t>
  </si>
  <si>
    <t>DMPA00082646</t>
  </si>
  <si>
    <t>Veron Esteban Bautista</t>
  </si>
  <si>
    <t>San Nicolas 599</t>
  </si>
  <si>
    <t>8597,474 Kwh.</t>
  </si>
  <si>
    <t>16/01/26 - 08:11 Hs.</t>
  </si>
  <si>
    <t>DMPA00082650</t>
  </si>
  <si>
    <t>Carrasquera Patricia Del Lujan</t>
  </si>
  <si>
    <t>San Nicolas 636 Piso 3 Dto. A</t>
  </si>
  <si>
    <t>2768,850 Kwh.</t>
  </si>
  <si>
    <t>19/02/25 - 09:00 Hs.</t>
  </si>
  <si>
    <t>DMPA00082692</t>
  </si>
  <si>
    <t>Gaitan Alejandra</t>
  </si>
  <si>
    <t>25 de Mayo 623 P: L Depto: 1</t>
  </si>
  <si>
    <t>2825,580 Kwh.</t>
  </si>
  <si>
    <t>24/06/25 - 10:07 Hs.</t>
  </si>
  <si>
    <t>DMPA00082699</t>
  </si>
  <si>
    <t>Peruzzi Raúl Eduardo</t>
  </si>
  <si>
    <t>San Nicolas 645</t>
  </si>
  <si>
    <t>1162,798 Kwh.</t>
  </si>
  <si>
    <t>24/06/25 - 07:25 Hs.</t>
  </si>
  <si>
    <t>DMPA00082705</t>
  </si>
  <si>
    <t>Britos Maria Belen</t>
  </si>
  <si>
    <t>San Nicolas 636 Piso 3 Dto. 2</t>
  </si>
  <si>
    <t>DMPA00082740</t>
  </si>
  <si>
    <t>Villa Franca María Florencia</t>
  </si>
  <si>
    <t xml:space="preserve">San Martin 642 </t>
  </si>
  <si>
    <t>6417,227 Kwh.</t>
  </si>
  <si>
    <t>16/03/26 - 08:03 Hs.</t>
  </si>
  <si>
    <t>DMWA00098393</t>
  </si>
  <si>
    <t>Micheloni Sandra Denise</t>
  </si>
  <si>
    <t>Tres de Febrero 524</t>
  </si>
  <si>
    <t>587,446 Kwh.</t>
  </si>
  <si>
    <t>05/01/26 - 11:49 Hs.</t>
  </si>
  <si>
    <t>DMWA00113906</t>
  </si>
  <si>
    <t>Parra Florencia Sofia</t>
  </si>
  <si>
    <t>Colon 905 P: 7 Depto: A</t>
  </si>
  <si>
    <t>4129,978 Kwh.</t>
  </si>
  <si>
    <t>26/06/25 - 11:01 Hs.</t>
  </si>
  <si>
    <t>DMWA00113937</t>
  </si>
  <si>
    <t>Valverde Cesia Alejandra</t>
  </si>
  <si>
    <t>Bvard. Colon 905 P.3 Dto. B</t>
  </si>
  <si>
    <t>2236,964 Kwh.</t>
  </si>
  <si>
    <t>06/11/25 - 08:27 Hs.</t>
  </si>
  <si>
    <t>DMWA00123866</t>
  </si>
  <si>
    <t>Clerc Gabriela Josefa</t>
  </si>
  <si>
    <t>Ja Peña Ucre 527</t>
  </si>
  <si>
    <t>901,456 Kwh.</t>
  </si>
  <si>
    <t>11/01/25 - 07:47 Hs.</t>
  </si>
  <si>
    <t>DTGA00036863</t>
  </si>
  <si>
    <t>Ballhorst Nidia Carmen</t>
  </si>
  <si>
    <t>140,117 Kwh.</t>
  </si>
  <si>
    <t>14/02/25 - 08:11 Hs.</t>
  </si>
  <si>
    <t>DTGA00036865</t>
  </si>
  <si>
    <t>Municipalidad de Perg. Alum. Publico</t>
  </si>
  <si>
    <t>40672,762 Kwh.</t>
  </si>
  <si>
    <t>15/02/26 - 06:20 Hs.</t>
  </si>
  <si>
    <t>DTGA00036866</t>
  </si>
  <si>
    <t xml:space="preserve">Taddei Hermanos </t>
  </si>
  <si>
    <t>100098,126 Kwh.</t>
  </si>
  <si>
    <t>26/04/26 - 02:37 Hs.</t>
  </si>
  <si>
    <t>DTGA00036868</t>
  </si>
  <si>
    <t>Bid Argentina S.A.</t>
  </si>
  <si>
    <t>P. Fondizi 1150   Dto. 1</t>
  </si>
  <si>
    <t>33127,797 Kwh.</t>
  </si>
  <si>
    <t>10/06/26 - 11:22 Hs.</t>
  </si>
  <si>
    <t>DTGA00036869</t>
  </si>
  <si>
    <t>Camino Rural No. 1071</t>
  </si>
  <si>
    <t>29046,512 Kwh.</t>
  </si>
  <si>
    <t>14/04/24 - 03:14 Hs.</t>
  </si>
  <si>
    <t>DTGA00038796</t>
  </si>
  <si>
    <t>Petroni Ricardo Héctor</t>
  </si>
  <si>
    <t>46552,782 Kwh.</t>
  </si>
  <si>
    <t>21/09/25 - 14:14 Hs.</t>
  </si>
  <si>
    <t>DTGA00039587</t>
  </si>
  <si>
    <t>Grupo Tranqueras Blancas S.A.</t>
  </si>
  <si>
    <t>Frondizi 850 (Pqe. Industrial Pergamino)</t>
  </si>
  <si>
    <t>134423,663 Kwh.</t>
  </si>
  <si>
    <t>08/03/24 - 19:38 Hs.</t>
  </si>
  <si>
    <t>DTGA00039589</t>
  </si>
  <si>
    <t>Ocampo Maria Angélica</t>
  </si>
  <si>
    <t>Camino Rural 1027</t>
  </si>
  <si>
    <t>84129,961 Kwh.</t>
  </si>
  <si>
    <t>18/05/26 - 04:05 Hs.</t>
  </si>
  <si>
    <t>DTGA00039970</t>
  </si>
  <si>
    <t>Banco Provincia Buenos Aires</t>
  </si>
  <si>
    <t>Frondizi 1150</t>
  </si>
  <si>
    <t>76852,451 Kwh.</t>
  </si>
  <si>
    <t>21/12/25 - 02:17 Hs.</t>
  </si>
  <si>
    <t>DTGA00040008</t>
  </si>
  <si>
    <t>Tosi Maximiliano</t>
  </si>
  <si>
    <t>Camino Rural 1021</t>
  </si>
  <si>
    <t>46680,734 Kwh.</t>
  </si>
  <si>
    <t>07/05/26 - 20:37 Hs.</t>
  </si>
  <si>
    <t>DTGA00040378</t>
  </si>
  <si>
    <t>La Troup S.A.</t>
  </si>
  <si>
    <t>Ruta 32   1</t>
  </si>
  <si>
    <t>88635,167 Kwh.</t>
  </si>
  <si>
    <t>08/06/26 - 22:30 Hs.</t>
  </si>
  <si>
    <t>DTGA00040379</t>
  </si>
  <si>
    <t>Telecom Argentina S.A.</t>
  </si>
  <si>
    <t>Camino Rural Coopzop No. 1011 Bis</t>
  </si>
  <si>
    <t>65336,712 Kwh.</t>
  </si>
  <si>
    <t>06/10/25 - 10:07 Hs.</t>
  </si>
  <si>
    <t>DTGA00040380</t>
  </si>
  <si>
    <t xml:space="preserve">Martinica S.A. </t>
  </si>
  <si>
    <t>San Nicolas 570</t>
  </si>
  <si>
    <t>27644,208 Kwh.</t>
  </si>
  <si>
    <t>08/05/26 - 20:15 Hs.</t>
  </si>
  <si>
    <t>DTGA00043461</t>
  </si>
  <si>
    <t>Giaccobone Isolina e Hijos</t>
  </si>
  <si>
    <t>Camino Rural Coopzop No. 1056</t>
  </si>
  <si>
    <t>367,504 Kwh.</t>
  </si>
  <si>
    <t>09/10/25 - 08:16 Hs.</t>
  </si>
  <si>
    <t>DTGA00043523</t>
  </si>
  <si>
    <t>Correo Oficial de la Rup Argent S.A.</t>
  </si>
  <si>
    <t>99173,304 Kwh.</t>
  </si>
  <si>
    <t>17/07/25 - 16:32 Hs.</t>
  </si>
  <si>
    <t>DTGA00043527</t>
  </si>
  <si>
    <t>Camino Rural No. 1023</t>
  </si>
  <si>
    <t>24380,406 Kwh.</t>
  </si>
  <si>
    <t>15/10/25 - 21:46 Hs.</t>
  </si>
  <si>
    <t>DTGA00043837</t>
  </si>
  <si>
    <t>Guarda Pampa S.A.</t>
  </si>
  <si>
    <t>Camino Rural 1044</t>
  </si>
  <si>
    <t>363989,583 Kwh.</t>
  </si>
  <si>
    <t>10/06/26 - 23:50 Hs.</t>
  </si>
  <si>
    <t>DTGA00043841</t>
  </si>
  <si>
    <t>Estancia San Federico S.H.</t>
  </si>
  <si>
    <t>Camino Rural 1059</t>
  </si>
  <si>
    <t>58382,150 Kwh.</t>
  </si>
  <si>
    <t>31/05/26 - 20:13 Hs.</t>
  </si>
  <si>
    <t>DTGA00043844</t>
  </si>
  <si>
    <t xml:space="preserve">Piccoli Miguel Angel </t>
  </si>
  <si>
    <t>Colon 760 Dto. 9</t>
  </si>
  <si>
    <t>125654,195 Kwh.</t>
  </si>
  <si>
    <t>09/02/26 - 09:43 Hs.</t>
  </si>
  <si>
    <t>DTGA00043849</t>
  </si>
  <si>
    <t>OBRAS SANITARIAS-POZO N°76</t>
  </si>
  <si>
    <t>858007,675 Kwh.</t>
  </si>
  <si>
    <t>07/05/26 - 02:00 Hs.</t>
  </si>
  <si>
    <t>Orden N° 331793 - Cambiar medidor dañado.</t>
  </si>
  <si>
    <t>DTGA00043854</t>
  </si>
  <si>
    <t>Monsanto Argentina S.A.I.C.</t>
  </si>
  <si>
    <t>Camino Rural No. 1013</t>
  </si>
  <si>
    <t>159213,511 Kwh.</t>
  </si>
  <si>
    <t>27/10/25 - 04:04 Hs.</t>
  </si>
  <si>
    <t>DTGA00043855</t>
  </si>
  <si>
    <t>Municipalidad de Colon</t>
  </si>
  <si>
    <t>Ruta178 No. 100</t>
  </si>
  <si>
    <t>DTGA00043857</t>
  </si>
  <si>
    <t>Juanose SCA</t>
  </si>
  <si>
    <t>Camino Rural 1009</t>
  </si>
  <si>
    <t>20209,811 Kwh.</t>
  </si>
  <si>
    <t>22/04/26 - 09:47 Hs.</t>
  </si>
  <si>
    <t>DTGA00043861</t>
  </si>
  <si>
    <t>Grilli Lucas Pedro</t>
  </si>
  <si>
    <t>Parque Industrial Pergamino 5</t>
  </si>
  <si>
    <t>40724,996 Kwh.</t>
  </si>
  <si>
    <t>08/06/26 - 13:11 Hs.</t>
  </si>
  <si>
    <t>DTGA00043866</t>
  </si>
  <si>
    <t>Agro Milfra S.A.</t>
  </si>
  <si>
    <t>Camino Rural 1061</t>
  </si>
  <si>
    <t>443,897 Kwh.</t>
  </si>
  <si>
    <t>11/06/26 - 02:49 Hs.</t>
  </si>
  <si>
    <t>DTGA00043873</t>
  </si>
  <si>
    <t>Fontoba Victor Ramon</t>
  </si>
  <si>
    <t xml:space="preserve">Camino Rural 1031 </t>
  </si>
  <si>
    <t>16347,853 Kwh.</t>
  </si>
  <si>
    <t>26/04/26 - 01:52 Hs.</t>
  </si>
  <si>
    <t>DTGA00043874</t>
  </si>
  <si>
    <t>Palou Maria Ines</t>
  </si>
  <si>
    <t>DTGA00044271</t>
  </si>
  <si>
    <t xml:space="preserve">Choike S.A. </t>
  </si>
  <si>
    <t>60121,605 Kwh.</t>
  </si>
  <si>
    <t>10/06/26 - 12:22 Hs.</t>
  </si>
  <si>
    <t>DTGA00074789</t>
  </si>
  <si>
    <t xml:space="preserve">Falcinelli Gerardo Miguel </t>
  </si>
  <si>
    <t>Peña Camino Rural 500</t>
  </si>
  <si>
    <t>15834,287 Kwh.</t>
  </si>
  <si>
    <t>11/05/26 - 00:07 Hs.</t>
  </si>
  <si>
    <t>DTGA00074790</t>
  </si>
  <si>
    <t>Cangiaso Oscar Alfredo</t>
  </si>
  <si>
    <t>Peña Camino Rural 2 Dto. 16</t>
  </si>
  <si>
    <t>11863,795 Kwh.</t>
  </si>
  <si>
    <t>06/04/26 - 10:33 Hs.</t>
  </si>
  <si>
    <t>DTGA00074791</t>
  </si>
  <si>
    <t>Alumbrado S.E. No. 209</t>
  </si>
  <si>
    <t>Magnani S/N</t>
  </si>
  <si>
    <t>61106,005 Kwh.</t>
  </si>
  <si>
    <t>31/01/24 - 08:18 Hs.</t>
  </si>
  <si>
    <t>DTGA00079086</t>
  </si>
  <si>
    <t>Solaberrieta Edgardo Julio</t>
  </si>
  <si>
    <t>Camino Rural Coopzop No.1070</t>
  </si>
  <si>
    <t>5012,857 Kwh.</t>
  </si>
  <si>
    <t>15/10/24 - 08:38 Hs.</t>
  </si>
  <si>
    <t>DTGA00079104</t>
  </si>
  <si>
    <t xml:space="preserve">Testa José Luis </t>
  </si>
  <si>
    <t>5961,824 Kwh.</t>
  </si>
  <si>
    <t>02/04/26 - 19:49 Hs.</t>
  </si>
  <si>
    <t>DTGA00079155</t>
  </si>
  <si>
    <t>Buxman Adalberto David</t>
  </si>
  <si>
    <t>Carpani Costa 1163</t>
  </si>
  <si>
    <t>76366,608 Kwh.</t>
  </si>
  <si>
    <t>10/06/26 - 12:04 Hs.</t>
  </si>
  <si>
    <t>DTGA00079166</t>
  </si>
  <si>
    <t>Establecimiento Agropecuario La Delfina</t>
  </si>
  <si>
    <t>19286,944 Kwh.</t>
  </si>
  <si>
    <t>22/04/26 - 21:21 Hs.</t>
  </si>
  <si>
    <t>DTGA00080142</t>
  </si>
  <si>
    <t>Luelles Jose Antonio</t>
  </si>
  <si>
    <t>4476,228 Kwh.</t>
  </si>
  <si>
    <t>09/06/26 - 07:33 Hs.</t>
  </si>
  <si>
    <t>DTGA00103746</t>
  </si>
  <si>
    <t>DE VEZ EN CUANDO LA VIDA SAS</t>
  </si>
  <si>
    <t>Dr. Alem 953</t>
  </si>
  <si>
    <t>48595,611 Kwh.</t>
  </si>
  <si>
    <t>22/04/26 - 03:08 Hs.</t>
  </si>
  <si>
    <t>DTGA00159422</t>
  </si>
  <si>
    <t>Civerchia Mario Ernesto</t>
  </si>
  <si>
    <t>15081,058 Kwh.</t>
  </si>
  <si>
    <t>03/05/26 - 00:46 Hs.</t>
  </si>
  <si>
    <t>DTGA00162204</t>
  </si>
  <si>
    <t>Capriotti Santo Domingo</t>
  </si>
  <si>
    <t>Camino Rural 1082</t>
  </si>
  <si>
    <t>518,299 Kwh.</t>
  </si>
  <si>
    <t>01/05/26 - 00:00 Hs.</t>
  </si>
  <si>
    <t>DTGA00162220</t>
  </si>
  <si>
    <t>Sofeva Soluciones</t>
  </si>
  <si>
    <t>Ruta 32   1324</t>
  </si>
  <si>
    <t>474,492 Kwh.</t>
  </si>
  <si>
    <t>09/06/26 - 11:02 Hs.</t>
  </si>
  <si>
    <t>DTGA00178362</t>
  </si>
  <si>
    <t xml:space="preserve">Telecom Argentina S.A. </t>
  </si>
  <si>
    <t>0 Kwh.</t>
  </si>
  <si>
    <t>25/09/25 - 12:40 Hs.</t>
  </si>
  <si>
    <t>DTGA00178363</t>
  </si>
  <si>
    <t>Raymundo Nelson Daniel</t>
  </si>
  <si>
    <t>Basualdo Camino Rural 89</t>
  </si>
  <si>
    <t>521,199 Kwh.</t>
  </si>
  <si>
    <t>04/01/26 - 22:45 Hs.</t>
  </si>
  <si>
    <t>Orden N° 331795 - Revisarlo por lecturas raras y esta S/C.</t>
  </si>
  <si>
    <t>DTGA00178364</t>
  </si>
  <si>
    <t>801,583 Kwh.</t>
  </si>
  <si>
    <t>29/12/25 - 14:27 Hs.</t>
  </si>
  <si>
    <t>DTGA00178365</t>
  </si>
  <si>
    <t>Garay Jose Alberto</t>
  </si>
  <si>
    <t>374,824 Kwh.</t>
  </si>
  <si>
    <t>21/12/25 - 06:58 Hs.</t>
  </si>
  <si>
    <t>DTGA00178561</t>
  </si>
  <si>
    <t>La Angelita De Michetti S.A.</t>
  </si>
  <si>
    <t>Camino Rural Fontezuela No. 804</t>
  </si>
  <si>
    <t>210,659 Kwh.</t>
  </si>
  <si>
    <t>02/12/25 - 13:40 Hs.</t>
  </si>
  <si>
    <t>DTGA00178564</t>
  </si>
  <si>
    <t xml:space="preserve">Gennero Hermanos </t>
  </si>
  <si>
    <t>1078,311 Kwh.</t>
  </si>
  <si>
    <t>29/01/26 - 02:22 Hs.</t>
  </si>
  <si>
    <t>DTGA00185661</t>
  </si>
  <si>
    <t xml:space="preserve">Cubino Walter Jose </t>
  </si>
  <si>
    <t>Salto Camino Rural 601</t>
  </si>
  <si>
    <t>928,613 Kwh.</t>
  </si>
  <si>
    <t>12/05/26 - 12:16 Hs.</t>
  </si>
  <si>
    <t>DTGA00185663</t>
  </si>
  <si>
    <t>Municipalidad Obra Sanitaria</t>
  </si>
  <si>
    <t>Alberdi 3600 (Pozo 86)</t>
  </si>
  <si>
    <t>33181,365 Kwh.</t>
  </si>
  <si>
    <t>26/04/26 - 21:03 Hs.</t>
  </si>
  <si>
    <t>DTPA00040776</t>
  </si>
  <si>
    <t>Moreno Juan Y Moreno Manuel S.H.</t>
  </si>
  <si>
    <t>Pueyrredon 570 Piso 4</t>
  </si>
  <si>
    <t>9489,306 Kwh.</t>
  </si>
  <si>
    <t>29/04/25 - 08:56 Hs.</t>
  </si>
  <si>
    <t>DTPA00076201</t>
  </si>
  <si>
    <t xml:space="preserve">Farmacity S.A. </t>
  </si>
  <si>
    <t>San Nicolas 459</t>
  </si>
  <si>
    <t>DTPA00078160</t>
  </si>
  <si>
    <t>Sports Family S.A.</t>
  </si>
  <si>
    <t>San Nicolas 515</t>
  </si>
  <si>
    <t>99933,933 Kwh.</t>
  </si>
  <si>
    <t>09/06/26 - 06:46 Hs.</t>
  </si>
  <si>
    <t>DTPA00078186</t>
  </si>
  <si>
    <t>Gercovich Gladys Fer</t>
  </si>
  <si>
    <t>Av de Mayo 530</t>
  </si>
  <si>
    <t>20050,694 Kwh.</t>
  </si>
  <si>
    <t>09/06/26 - 08:07 Hs.</t>
  </si>
  <si>
    <t>DTPA00078194</t>
  </si>
  <si>
    <t>Calderone Jose Ramon</t>
  </si>
  <si>
    <t>San Nicolas 637</t>
  </si>
  <si>
    <t>25337,160 Kwh.</t>
  </si>
  <si>
    <t>14/05/25 - 11:29 Hs.</t>
  </si>
  <si>
    <t>DTPA00078204</t>
  </si>
  <si>
    <t>Fuentes Andres</t>
  </si>
  <si>
    <t>San Martin 647</t>
  </si>
  <si>
    <t>4681,832 Kwh.</t>
  </si>
  <si>
    <t>19/10/23 - 10:09 Hs.</t>
  </si>
  <si>
    <t>DTPA00079420</t>
  </si>
  <si>
    <t>Telecom Arg. Stet Fra</t>
  </si>
  <si>
    <t>Av de Mayo 508</t>
  </si>
  <si>
    <t>257357,161 Kwh.</t>
  </si>
  <si>
    <t>09/06/26 - 08:08 Hs.</t>
  </si>
  <si>
    <t>DCCA00011174</t>
  </si>
  <si>
    <t>CONCENTRADOR</t>
  </si>
  <si>
    <t xml:space="preserve">1 MED. SIN COMUNICACION </t>
  </si>
  <si>
    <t>DCCA00011224</t>
  </si>
  <si>
    <t>3 MED. SIN COMUNICACION</t>
  </si>
  <si>
    <t>DCCA00011324</t>
  </si>
  <si>
    <t>4 MED. SIN COMUNICACION</t>
  </si>
  <si>
    <t>DCCA00011549</t>
  </si>
  <si>
    <t>5 MED. SIN COMUNICACION</t>
  </si>
  <si>
    <t>DCCA00011572</t>
  </si>
  <si>
    <t>2 MED. SIN COMUNICACION</t>
  </si>
  <si>
    <t>DCCA00011578</t>
  </si>
  <si>
    <t>9 MED. SIN COMUNICACION</t>
  </si>
  <si>
    <t>DCCA00011610</t>
  </si>
  <si>
    <t>7 MED. SIN COMUNICACION</t>
  </si>
  <si>
    <t>DCCA00011628</t>
  </si>
  <si>
    <t>1 MED. SIN COMUNICACION</t>
  </si>
  <si>
    <t>DCCA00011632</t>
  </si>
  <si>
    <t>DCCA00011656</t>
  </si>
  <si>
    <t>DCCA00011661</t>
  </si>
  <si>
    <t>DUPX00000299</t>
  </si>
  <si>
    <t>38 MED. S/C ASOCIADOS A CONCENTRADORES</t>
  </si>
  <si>
    <t>Stock</t>
  </si>
  <si>
    <t>Cant.</t>
  </si>
  <si>
    <t>Elementos</t>
  </si>
  <si>
    <t>Uso</t>
  </si>
  <si>
    <t>Baterias 12/7</t>
  </si>
  <si>
    <t>Baterias 12/12</t>
  </si>
  <si>
    <t>Baterias 12/20</t>
  </si>
  <si>
    <t>Placa Fuente</t>
  </si>
  <si>
    <t>1 para el 35</t>
  </si>
  <si>
    <t>Radio MDS 9810</t>
  </si>
  <si>
    <t>2 p/secto y 1 p/nulec  (1 para el 42)</t>
  </si>
  <si>
    <t>Perillas L/R</t>
  </si>
  <si>
    <t>coordenadas</t>
  </si>
  <si>
    <t>-33.6561185, -60.6923145</t>
  </si>
  <si>
    <t>-33.7367530129, -60.9658606698</t>
  </si>
  <si>
    <t>-33.6838377, -60.8231085</t>
  </si>
  <si>
    <t>-34.0678229, -60.6376004</t>
  </si>
  <si>
    <t>-33.629462, -60.8170228</t>
  </si>
  <si>
    <t>-33.8640579, -60.5734959</t>
  </si>
  <si>
    <t>-33.9146965456, -60.565977</t>
  </si>
  <si>
    <t>-33.8959745, -60.5733916</t>
  </si>
  <si>
    <t>-33.8906529, -60.572818</t>
  </si>
  <si>
    <t>-34.00265, -60.67075</t>
  </si>
  <si>
    <t>-34.0296536, -60.6532753</t>
  </si>
  <si>
    <t>-34.0518, -60.6763</t>
  </si>
  <si>
    <t>-33.73577, -60.923113</t>
  </si>
  <si>
    <t>-34.01285, -60.63933</t>
  </si>
  <si>
    <t>-33.893551, -60.69744</t>
  </si>
  <si>
    <t>-34.0287078, -60.6021215</t>
  </si>
  <si>
    <t>-, -</t>
  </si>
  <si>
    <t>-33.722005, -60.910804</t>
  </si>
  <si>
    <t>-33.757106, -60.945387</t>
  </si>
  <si>
    <t>-33.756694, -60.928402</t>
  </si>
  <si>
    <t>-33.833202, -60.712808</t>
  </si>
  <si>
    <t>-34.0230333, -60.5705</t>
  </si>
  <si>
    <t>-33.893379, -60.580707</t>
  </si>
  <si>
    <t>-34.02265, -60.6510333</t>
  </si>
  <si>
    <t>-33.8383318, -60.4973665</t>
  </si>
  <si>
    <t>-33.8410013, -60.7342047</t>
  </si>
  <si>
    <t>-33.8753344, -60.6271328</t>
  </si>
  <si>
    <t>-33.876023, -60.759588</t>
  </si>
  <si>
    <t>-33.9580245, -60.6384772</t>
  </si>
  <si>
    <t>-33.9994, -60.63263</t>
  </si>
  <si>
    <t>-33.727105, -60.945187</t>
  </si>
  <si>
    <t>-33.87574, -60.625933</t>
  </si>
  <si>
    <t>-33.800628, -60.837999</t>
  </si>
  <si>
    <t>-34.02641, -60.652316</t>
  </si>
  <si>
    <t>-33.8943642, -60.5716959</t>
  </si>
  <si>
    <t>-34.038436, -60.634317</t>
  </si>
  <si>
    <t>-33.8968637, -60.5740559</t>
  </si>
  <si>
    <t>-33.8973435, -60.5771727</t>
  </si>
  <si>
    <t>-33.8943184, -60.5731575</t>
  </si>
  <si>
    <t>-33.896709, -60.5763538</t>
  </si>
  <si>
    <t>-33.8945808, -60.5733526</t>
  </si>
  <si>
    <t>-33.8941514, -60.5720066</t>
  </si>
  <si>
    <t>-33.8966719, -60.5764334</t>
  </si>
  <si>
    <t>-33.8956139, -60.5725977</t>
  </si>
  <si>
    <t>-33.8940492, -60.5725168</t>
  </si>
  <si>
    <t>-33.8940788, -60.572484</t>
  </si>
  <si>
    <t>-33.8966124, -60.5764601</t>
  </si>
  <si>
    <t>-33.896598, -60.5740286</t>
  </si>
  <si>
    <t>-33.8967997, -60.5740536</t>
  </si>
  <si>
    <t>-33.8960883, -60.5742245</t>
  </si>
  <si>
    <t>-33.8970107, -60.5743458</t>
  </si>
  <si>
    <t>-33.8991593, -60.5733502</t>
  </si>
  <si>
    <t>-33.8963408, -60.5743782</t>
  </si>
  <si>
    <t>-33.894786, -60.5732252</t>
  </si>
  <si>
    <t>-33.8933126, -60.5726587</t>
  </si>
  <si>
    <t>-33.8937917, -60.5728397</t>
  </si>
  <si>
    <t>-33.8941588, -60.57301</t>
  </si>
  <si>
    <t>-33.8957155, -60.5735231</t>
  </si>
  <si>
    <t>-33.8933545, -60.5724876</t>
  </si>
  <si>
    <t>-33.8111111, -60.6011111</t>
  </si>
  <si>
    <t>-33.8967938, -60.5742483</t>
  </si>
  <si>
    <t>-33.8952367, -60.5735038</t>
  </si>
  <si>
    <t>-33.8952514, -60.5733315</t>
  </si>
  <si>
    <t>-33.8952779, -60.5726831</t>
  </si>
  <si>
    <t>-33.8952669, -60.5735881</t>
  </si>
  <si>
    <t>-33.8960528, -60.5743047</t>
  </si>
  <si>
    <t>-33.901339, -60.5749134</t>
  </si>
  <si>
    <t>-33.8943613, -60.5819948</t>
  </si>
  <si>
    <t>-33.8943644, -60.5819963</t>
  </si>
  <si>
    <t>-33.8175098, -60.4852931</t>
  </si>
  <si>
    <t>-34.0369, -60.66385</t>
  </si>
  <si>
    <t>-34.02918333, -60.65548333</t>
  </si>
  <si>
    <t>-34.0403166, -60.63735</t>
  </si>
  <si>
    <t>-33.9206767, -60.5612103</t>
  </si>
  <si>
    <t>-33.71502, -60.9226</t>
  </si>
  <si>
    <t>-34.0491333, -60.64105</t>
  </si>
  <si>
    <t>-33.9233, -60.5677</t>
  </si>
  <si>
    <t>-33.828874, -60.700991</t>
  </si>
  <si>
    <t>-33.926486, -60.565074</t>
  </si>
  <si>
    <t>-33.851508, -60.682583</t>
  </si>
  <si>
    <t>-33.9552716, -60.5424876</t>
  </si>
  <si>
    <t>-33.8643383, -60.6632308</t>
  </si>
  <si>
    <t>-33.8943922, -60.5729819</t>
  </si>
  <si>
    <t>-33.772053, -60.814285</t>
  </si>
  <si>
    <t>-33.8907275, -60.5727925</t>
  </si>
  <si>
    <t>-33.840386, -60.672487</t>
  </si>
  <si>
    <t>-33.82907, -60.782499</t>
  </si>
  <si>
    <t>-33.784074, -60.858366</t>
  </si>
  <si>
    <t>-33.5812312, -60.5812312</t>
  </si>
  <si>
    <t>-33.875111, -60.601302</t>
  </si>
  <si>
    <t>-33.86471, -60.674613</t>
  </si>
  <si>
    <t>-33.734967, -60.924006</t>
  </si>
  <si>
    <t>-33.879941, -60.675105</t>
  </si>
  <si>
    <t>-33.924603, -60.562858</t>
  </si>
  <si>
    <t>-33.769628, -60.853456</t>
  </si>
  <si>
    <t>-33.83239, -60.745203</t>
  </si>
  <si>
    <t>-34.0492933, -60.6410286</t>
  </si>
  <si>
    <t>-33.9592, -60.5839</t>
  </si>
  <si>
    <t>-33.8185172, -60.5186578</t>
  </si>
  <si>
    <t>-33819948, -60.523287</t>
  </si>
  <si>
    <t>-33.8865969, -60.5514994</t>
  </si>
  <si>
    <t>-33.719662, -60.92781</t>
  </si>
  <si>
    <t>-33.9675, -60.653266</t>
  </si>
  <si>
    <t>-33.9060322, -60.5557484</t>
  </si>
  <si>
    <t>-33.9522666, -60.60798333</t>
  </si>
  <si>
    <t>-33.9972833, -60.65215</t>
  </si>
  <si>
    <t>-33.89887688, -60.5717726</t>
  </si>
  <si>
    <t>-34.0392666, -60.6394166</t>
  </si>
  <si>
    <t>-33.848938, -60.685963</t>
  </si>
  <si>
    <t>-33.9202278, -60.5583639</t>
  </si>
  <si>
    <t>-34.042186, -60.639846</t>
  </si>
  <si>
    <t>-34.026304, -60.652689</t>
  </si>
  <si>
    <t>-33.8211927, -60.7765603</t>
  </si>
  <si>
    <t>-34.03191, -60.66141</t>
  </si>
  <si>
    <t>-33.8878916, -60.4974174</t>
  </si>
  <si>
    <t>-33.9913802, -60.6285551</t>
  </si>
  <si>
    <t>-33.97688, -60.53268333</t>
  </si>
  <si>
    <t>-33.9178105, -60.5985934</t>
  </si>
  <si>
    <t>-33.8935988, -60.5728401</t>
  </si>
  <si>
    <t>-33.894088, -60.5729461</t>
  </si>
  <si>
    <t>-33.8933614, -60.5716831</t>
  </si>
  <si>
    <t>-33.8951274, -60.5735126</t>
  </si>
  <si>
    <t>-33.895867, -60.5742325</t>
  </si>
  <si>
    <t>-33.8933958, -60.5715724</t>
  </si>
  <si>
    <t xml:space="preserve">DMPA00036757, </t>
  </si>
  <si>
    <t xml:space="preserve">DMPA00038561   DMPA00038585  DMPA00038586, </t>
  </si>
  <si>
    <t xml:space="preserve">DMPA00038562  DMPA00082584  DMPA00082650  DMPA00082692, </t>
  </si>
  <si>
    <t xml:space="preserve">DMPA00038560  DMPA00038578  DMPA00038579  DMPA00082590   DTPA00040776, </t>
  </si>
  <si>
    <t xml:space="preserve">DMPA00036758  DMPA00082646, </t>
  </si>
  <si>
    <t xml:space="preserve">DMPA00077681  DMPA00077682  DMPA00077684  DMPA00082545  DMPA00082550  DMPA00082739  DTPA00078160  DTPA00078186  DTPA00079420, </t>
  </si>
  <si>
    <t xml:space="preserve">DMPA00036683  DMPA00077473  DMPA00077531  DMPA00077555  DMPA00082699 DMPA00082740  DTPA00078194  DTPA00078204, </t>
  </si>
  <si>
    <t xml:space="preserve">DMPA00077481, </t>
  </si>
  <si>
    <t xml:space="preserve">DMPA00077520  DMPA00077591  DMPA00077613, </t>
  </si>
  <si>
    <t xml:space="preserve">DMPA00038554, </t>
  </si>
  <si>
    <t xml:space="preserve">DMPA00082579, </t>
  </si>
  <si>
    <t xml:space="preserve">DMPA00077478, </t>
  </si>
  <si>
    <t>DIGA, 12</t>
  </si>
  <si>
    <t>DIWA, 1</t>
  </si>
  <si>
    <t>DMGA, 29</t>
  </si>
  <si>
    <t>DMPA, 39</t>
  </si>
  <si>
    <t>DMWA, 4</t>
  </si>
  <si>
    <t>DTGA, 46</t>
  </si>
  <si>
    <t>DTPA, 7</t>
  </si>
  <si>
    <t>LECTURA ANORMAL, 9</t>
  </si>
  <si>
    <t>S/COMUNIC., 129</t>
  </si>
  <si>
    <t>TOTAL:, 138</t>
  </si>
  <si>
    <t>Normal, 1131</t>
  </si>
  <si>
    <t>Alarma, 138</t>
  </si>
  <si>
    <t>Sin consumo, 77</t>
  </si>
  <si>
    <t>Activo s/sumin., 20</t>
  </si>
  <si>
    <t>No instalado, 247</t>
  </si>
  <si>
    <t xml:space="preserve">1 + en arreglo por Leo, </t>
  </si>
  <si>
    <t>GeolocalizaciÃ³n</t>
  </si>
  <si>
    <t>=HYPERLINK("https://www.google.com/maps?q=-34.0518,-60.6763", "Ver mapa")</t>
  </si>
  <si>
    <t>=HYPERLINK("https://www.google.com/maps?q=-34.0287078,-60.6021215", "Ver mapa")</t>
  </si>
  <si>
    <t>=HYPERLINK("https://www.google.com/maps?q=-33.8383318,-60.4973665", "Ver mapa")</t>
  </si>
  <si>
    <t>=HYPERLINK("https://www.google.com/maps?q=-33.8753344,-60.6271328", "Ver mapa")</t>
  </si>
  <si>
    <t>=HYPERLINK("https://www.google.com/maps?q=-33.876023,-60.759588", "Ver mapa")</t>
  </si>
  <si>
    <t>=HYPERLINK("https://www.google.com/maps?q=-34.02641,-60.652316", "Ver mapa")</t>
  </si>
  <si>
    <t>=HYPERLINK("https://www.google.com/maps?q=-33.8943642,-60.5716959", "Ver mapa")</t>
  </si>
  <si>
    <t>=HYPERLINK("https://www.google.com/maps?q=-34.038436,-60.634317", "Ver mapa")</t>
  </si>
  <si>
    <t>=HYPERLINK("https://www.google.com/maps?q=-33.8940788,-60.572484", "Ver mapa")</t>
  </si>
  <si>
    <t>=HYPERLINK("https://www.google.com/maps?q=-33.8933126,-60.5726587", "Ver mapa")</t>
  </si>
  <si>
    <t>=HYPERLINK("https://www.google.com/maps?q=-33.8940492,-60.5725168", "Ver mapa")</t>
  </si>
  <si>
    <t>=HYPERLINK("https://www.google.com/maps?q=-33.8935988,-60.5728401", "Ver mapa")</t>
  </si>
  <si>
    <t>=HYPERLINK("https://www.google.com/maps?q=-33.894088,-60.5729461", "Ver mapa")</t>
  </si>
  <si>
    <t>=HYPERLINK("https://www.google.com/maps?q=-33.8933614,-60.5716831", "Ver mapa")</t>
  </si>
  <si>
    <t>=HYPERLINK("https://www.google.com/maps?q=-33.8951274,-60.5735126", "Ver mapa")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</si>
</sst>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333333"/>
      <name val="Arial"/>
    </font>
    <font>
      <sz val="10"/>
      <color rgb="FF000000"/>
      <name val="Arial"/>
      <scheme val="minor"/>
    </font>
    <font>
      <sz val="10"/>
      <name val="Arial"/>
    </font>
    <font>
      <sz val="10"/>
      <color rgb="FFFFFFFF"/>
      <name val="Arial"/>
      <scheme val="minor"/>
    </font>
    <font>
      <b/>
      <i/>
      <sz val="11"/>
      <color theme="1"/>
      <name val="Arial"/>
    </font>
    <font>
      <i/>
      <sz val="10"/>
      <color theme="1"/>
      <name val="Arial"/>
    </font>
    <font>
      <u/>
      <sz val="10"/>
      <color theme="10"/>
      <name val="Arial"/>
      <scheme val="minor"/>
    </font>
    <font>
      <u/>
      <sz val="10"/>
      <color rgb="FF0066CC"/>
      <name val="Arial"/>
      <family val="2"/>
      <scheme val="minor"/>
    </font>
    <font>
      <b/>
      <u/>
      <sz val="10"/>
      <color rgb="FF0066CC"/>
      <name val="Arial"/>
      <family val="2"/>
    </font>
    <font>
      <b/>
      <u/>
      <sz val="10"/>
      <color rgb="FF0066CC"/>
      <name val="Arial"/>
      <family val="2"/>
      <scheme val="minor"/>
    </font>
    <font>
      <u/>
      <sz val="10"/>
      <color rgb="FF0066CC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0" borderId="3" xfId="0" applyFont="1" applyBorder="1"/>
    <xf numFmtId="0" fontId="4" fillId="0" borderId="4" xfId="0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/>
    <xf numFmtId="0" fontId="3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5" fillId="0" borderId="5" xfId="0" applyFont="1" applyBorder="1"/>
    <xf numFmtId="49" fontId="4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49" fontId="4" fillId="0" borderId="3" xfId="0" applyNumberFormat="1" applyFont="1" applyBorder="1" applyAlignment="1">
      <alignment horizontal="center"/>
    </xf>
    <xf numFmtId="0" fontId="5" fillId="0" borderId="6" xfId="0" applyFont="1" applyBorder="1"/>
    <xf numFmtId="0" fontId="7" fillId="6" borderId="1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0" borderId="2" xfId="0" applyFont="1" applyBorder="1"/>
    <xf numFmtId="0" fontId="4" fillId="0" borderId="5" xfId="0" applyFon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49" fontId="4" fillId="6" borderId="5" xfId="0" applyNumberFormat="1" applyFont="1" applyFill="1" applyBorder="1" applyAlignment="1">
      <alignment horizontal="center"/>
    </xf>
    <xf numFmtId="0" fontId="5" fillId="0" borderId="7" xfId="0" applyFont="1" applyBorder="1"/>
    <xf numFmtId="0" fontId="8" fillId="7" borderId="8" xfId="0" applyFont="1" applyFill="1" applyBorder="1"/>
    <xf numFmtId="0" fontId="8" fillId="7" borderId="9" xfId="0" applyFont="1" applyFill="1" applyBorder="1"/>
    <xf numFmtId="0" fontId="5" fillId="0" borderId="0" xfId="0" applyFont="1" applyAlignment="1">
      <alignment horizontal="center"/>
    </xf>
    <xf numFmtId="0" fontId="3" fillId="8" borderId="5" xfId="0" applyFont="1" applyFill="1" applyBorder="1"/>
    <xf numFmtId="0" fontId="5" fillId="0" borderId="0" xfId="0" applyFont="1" applyAlignment="1">
      <alignment horizontal="right"/>
    </xf>
    <xf numFmtId="0" fontId="5" fillId="3" borderId="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/>
    </xf>
    <xf numFmtId="0" fontId="10" fillId="12" borderId="8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10" fillId="15" borderId="8" xfId="0" applyFont="1" applyFill="1" applyBorder="1"/>
    <xf numFmtId="0" fontId="10" fillId="16" borderId="8" xfId="0" applyFont="1" applyFill="1" applyBorder="1"/>
    <xf numFmtId="0" fontId="10" fillId="17" borderId="8" xfId="0" applyFont="1" applyFill="1" applyBorder="1"/>
    <xf numFmtId="0" fontId="10" fillId="18" borderId="8" xfId="0" applyFont="1" applyFill="1" applyBorder="1"/>
    <xf numFmtId="0" fontId="8" fillId="19" borderId="8" xfId="0" applyFont="1" applyFill="1" applyBorder="1"/>
    <xf numFmtId="0" fontId="12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/>
    <xf numFmtId="0" fontId="8" fillId="7" borderId="9" xfId="0" applyFont="1" applyFill="1" applyBorder="1"/>
    <xf numFmtId="0" fontId="9" fillId="0" borderId="9" xfId="0" applyFont="1" applyBorder="1"/>
    <xf numFmtId="0" fontId="9" fillId="0" borderId="10" xfId="0" applyFont="1" applyBorder="1"/>
    <xf numFmtId="0" fontId="11" fillId="20" borderId="8" xfId="0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5" xfId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0" fontId="14" fillId="6" borderId="1" xfId="1" applyFont="1" applyFill="1" applyBorder="1" applyAlignment="1">
      <alignment horizontal="center"/>
    </xf>
    <xf numFmtId="0" fontId="14" fillId="0" borderId="7" xfId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15" fillId="0" borderId="5" xfId="0" applyNumberFormat="1" applyFont="1" applyBorder="1" applyAlignment="1">
      <alignment horizontal="center"/>
    </xf>
    <xf numFmtId="0" fontId="14" fillId="0" borderId="0" xfId="0" applyFont="1"/>
    <xf numFmtId="0" fontId="17" fillId="0" borderId="9" xfId="0" applyFont="1" applyBorder="1"/>
    <xf numFmtId="0" fontId="14" fillId="0" borderId="0" xfId="0" applyFont="1" applyAlignment="1">
      <alignment horizontal="left"/>
    </xf>
    <xf numFmtId="0" fontId="14" fillId="0" borderId="10" xfId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1" applyFont="1" applyAlignment="1">
      <alignment horizontal="left"/>
    </xf>
    <xf numFmtId="0" fontId="14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sz="2000" b="1">
                <a:solidFill>
                  <a:srgbClr val="000000"/>
                </a:solidFill>
                <a:latin typeface="Arial"/>
              </a:rPr>
              <a:t>Medidores Caídos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B72-48B8-ADE4-4C1F23AB02A3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B72-48B8-ADE4-4C1F23AB02A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B72-48B8-ADE4-4C1F23AB02A3}"/>
              </c:ext>
            </c:extLst>
          </c:dPt>
          <c:dPt>
            <c:idx val="3"/>
            <c:bubble3D val="0"/>
            <c:spPr>
              <a:solidFill>
                <a:srgbClr val="00FF00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B72-48B8-ADE4-4C1F23AB02A3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B72-48B8-ADE4-4C1F23AB02A3}"/>
              </c:ext>
            </c:extLst>
          </c:dPt>
          <c:dPt>
            <c:idx val="5"/>
            <c:bubble3D val="0"/>
            <c:spPr>
              <a:solidFill>
                <a:srgbClr val="0000FF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B72-48B8-ADE4-4C1F23AB02A3}"/>
              </c:ext>
            </c:extLst>
          </c:dPt>
          <c:dPt>
            <c:idx val="6"/>
            <c:bubble3D val="0"/>
            <c:spPr>
              <a:solidFill>
                <a:srgbClr val="9900FF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B72-48B8-ADE4-4C1F23AB02A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E-AB72-48B8-ADE4-4C1F23AB02A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F-AB72-48B8-ADE4-4C1F23AB02A3}"/>
              </c:ext>
            </c:extLst>
          </c:dPt>
          <c:cat>
            <c:strRef>
              <c:f>'Hoja 1'!$D$147:$D$155</c:f>
              <c:strCache>
                <c:ptCount val="7"/>
                <c:pt idx="0">
                  <c:v>DIGA, 12</c:v>
                </c:pt>
                <c:pt idx="1">
                  <c:v>DIWA, 1</c:v>
                </c:pt>
                <c:pt idx="2">
                  <c:v>DMGA, 29</c:v>
                </c:pt>
                <c:pt idx="3">
                  <c:v>DMPA, 39</c:v>
                </c:pt>
                <c:pt idx="4">
                  <c:v>DMWA, 4</c:v>
                </c:pt>
                <c:pt idx="5">
                  <c:v>DTGA, 46</c:v>
                </c:pt>
                <c:pt idx="6">
                  <c:v>DTPA, 7</c:v>
                </c:pt>
              </c:strCache>
            </c:strRef>
          </c:cat>
          <c:val>
            <c:numRef>
              <c:f>'Hoja 1'!$E$147:$E$155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72-48B8-ADE4-4C1F23AB0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000000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+mn-lt"/>
              </a:defRPr>
            </a:pPr>
            <a:r>
              <a:rPr sz="2000" b="1">
                <a:solidFill>
                  <a:srgbClr val="000000"/>
                </a:solidFill>
                <a:latin typeface="+mn-lt"/>
              </a:rPr>
              <a:t>Motivo 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CC0000"/>
              </a:solidFill>
            </c:spPr>
            <c:extLst>
              <c:ext xmlns:c16="http://schemas.microsoft.com/office/drawing/2014/chart" uri="{C3380CC4-5D6E-409C-BE32-E72D297353CC}">
                <c16:uniqueId val="{00000001-43A8-4D3D-B5F6-2A69173AC177}"/>
              </c:ext>
            </c:extLst>
          </c:dPt>
          <c:dPt>
            <c:idx val="1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3-43A8-4D3D-B5F6-2A69173AC177}"/>
              </c:ext>
            </c:extLst>
          </c:dPt>
          <c:cat>
            <c:strRef>
              <c:f>'Hoja 1'!$D$157:$D$158</c:f>
              <c:strCache>
                <c:ptCount val="2"/>
                <c:pt idx="0">
                  <c:v>LECTURA ANORMAL, 9</c:v>
                </c:pt>
                <c:pt idx="1">
                  <c:v>S/COMUNIC., 129</c:v>
                </c:pt>
              </c:strCache>
            </c:strRef>
          </c:cat>
          <c:val>
            <c:numRef>
              <c:f>'Hoja 1'!$E$157:$E$158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A8-4D3D-B5F6-2A69173AC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sz="1200" b="0">
              <a:solidFill>
                <a:srgbClr val="000000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/>
              </a:defRPr>
            </a:pPr>
            <a:r>
              <a:rPr sz="2000" b="1" i="0">
                <a:solidFill>
                  <a:srgbClr val="000000"/>
                </a:solidFill>
                <a:latin typeface="Arial"/>
              </a:rPr>
              <a:t>DISCAR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8761D"/>
              </a:solidFill>
            </c:spPr>
            <c:extLst>
              <c:ext xmlns:c16="http://schemas.microsoft.com/office/drawing/2014/chart" uri="{C3380CC4-5D6E-409C-BE32-E72D297353CC}">
                <c16:uniqueId val="{00000001-FD39-4B5C-92C0-D14D9A99440D}"/>
              </c:ext>
            </c:extLst>
          </c:dPt>
          <c:dPt>
            <c:idx val="1"/>
            <c:bubble3D val="0"/>
            <c:spPr>
              <a:solidFill>
                <a:srgbClr val="990000"/>
              </a:solidFill>
            </c:spPr>
            <c:extLst>
              <c:ext xmlns:c16="http://schemas.microsoft.com/office/drawing/2014/chart" uri="{C3380CC4-5D6E-409C-BE32-E72D297353CC}">
                <c16:uniqueId val="{00000003-FD39-4B5C-92C0-D14D9A99440D}"/>
              </c:ext>
            </c:extLst>
          </c:dPt>
          <c:dPt>
            <c:idx val="2"/>
            <c:bubble3D val="0"/>
            <c:spPr>
              <a:solidFill>
                <a:srgbClr val="0B5394"/>
              </a:solidFill>
            </c:spPr>
            <c:extLst>
              <c:ext xmlns:c16="http://schemas.microsoft.com/office/drawing/2014/chart" uri="{C3380CC4-5D6E-409C-BE32-E72D297353CC}">
                <c16:uniqueId val="{00000005-FD39-4B5C-92C0-D14D9A99440D}"/>
              </c:ext>
            </c:extLst>
          </c:dPt>
          <c:dPt>
            <c:idx val="3"/>
            <c:bubble3D val="0"/>
            <c:spPr>
              <a:solidFill>
                <a:srgbClr val="741B47"/>
              </a:solidFill>
            </c:spPr>
            <c:extLst>
              <c:ext xmlns:c16="http://schemas.microsoft.com/office/drawing/2014/chart" uri="{C3380CC4-5D6E-409C-BE32-E72D297353CC}">
                <c16:uniqueId val="{00000007-FD39-4B5C-92C0-D14D9A99440D}"/>
              </c:ext>
            </c:extLst>
          </c:dPt>
          <c:dPt>
            <c:idx val="4"/>
            <c:bubble3D val="0"/>
            <c:spPr>
              <a:solidFill>
                <a:srgbClr val="999999"/>
              </a:solidFill>
            </c:spPr>
            <c:extLst>
              <c:ext xmlns:c16="http://schemas.microsoft.com/office/drawing/2014/chart" uri="{C3380CC4-5D6E-409C-BE32-E72D297353CC}">
                <c16:uniqueId val="{00000009-FD39-4B5C-92C0-D14D9A99440D}"/>
              </c:ext>
            </c:extLst>
          </c:dPt>
          <c:cat>
            <c:strRef>
              <c:f>'Hoja 1'!$D$167:$D$171</c:f>
              <c:strCache>
                <c:ptCount val="5"/>
                <c:pt idx="0">
                  <c:v>Normal, 1131</c:v>
                </c:pt>
                <c:pt idx="1">
                  <c:v>Alarma, 138</c:v>
                </c:pt>
                <c:pt idx="2">
                  <c:v>Sin consumo, 77</c:v>
                </c:pt>
                <c:pt idx="3">
                  <c:v>Activo s/sumin., 20</c:v>
                </c:pt>
                <c:pt idx="4">
                  <c:v>No instalado, 247</c:v>
                </c:pt>
              </c:strCache>
            </c:strRef>
          </c:cat>
          <c:val>
            <c:numRef>
              <c:f>'Hoja 1'!$E$167:$E$171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39-4B5C-92C0-D14D9A994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sz="1600" b="0">
              <a:solidFill>
                <a:srgbClr val="000000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466725</xdr:colOff>
      <xdr:row>144</xdr:row>
      <xdr:rowOff>200025</xdr:rowOff>
    </xdr:from>
    <xdr:ext cx="5848350" cy="36099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733425</xdr:colOff>
      <xdr:row>144</xdr:row>
      <xdr:rowOff>200025</xdr:rowOff>
    </xdr:from>
    <xdr:ext cx="5848350" cy="36099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466725</xdr:colOff>
      <xdr:row>164</xdr:row>
      <xdr:rowOff>190500</xdr:rowOff>
    </xdr:from>
    <xdr:ext cx="5848350" cy="36099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87"/>
  <sheetViews>
    <sheetView tabSelected="1" workbookViewId="0"/>
  </sheetViews>
  <sheetFormatPr baseColWidth="10" defaultColWidth="12.5703125" defaultRowHeight="15.75" customHeight="1" x14ac:dyDescent="0.2"/>
  <cols>
    <col min="1" max="2" width="26.140625" customWidth="1"/>
    <col min="3" max="3" width="40.5703125" customWidth="1"/>
    <col min="4" max="4" width="28.85546875" bestFit="1" customWidth="1"/>
    <col min="5" max="5" width="80.7109375" bestFit="1" customWidth="1"/>
    <col min="6" max="6" width="32.5703125" customWidth="1"/>
    <col min="7" max="8" width="25.42578125" customWidth="1"/>
    <col min="9" max="10" width="16.85546875" customWidth="1"/>
    <col min="11" max="11" width="51.42578125" customWidth="1"/>
  </cols>
  <sheetData>
    <row r="1" spans="1:11" ht="15.75" customHeight="1" x14ac:dyDescent="0.25">
      <c r="A1" s="1" t="s">
        <v>0</v>
      </c>
      <c r="B1" s="2" t="s">
        <v>1</v>
      </c>
      <c r="C1" s="2" t="s">
        <v>2</v>
      </c>
      <c r="D1" s="2" t="s">
        <v>641</v>
      </c>
      <c r="E1" s="2" t="s">
        <v>794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ht="12.75" x14ac:dyDescent="0.2">
      <c r="A2" s="3" t="s">
        <v>9</v>
      </c>
      <c r="B2" s="4" t="s">
        <v>10</v>
      </c>
      <c r="C2" s="3" t="s">
        <v>11</v>
      </c>
      <c r="D2" s="3" t="s">
        <v>642</v>
      </c>
      <c r="E2" s="72" t="str">
        <f>HYPERLINK("https://www.google.com/maps?q=-33.6561185,-60.6923145", "Ver mapa")</f>
        <v>Ver mapa</v>
      </c>
      <c r="F2" s="3" t="s">
        <v>12</v>
      </c>
      <c r="G2" s="5" t="s">
        <v>13</v>
      </c>
      <c r="H2" s="3" t="s">
        <v>14</v>
      </c>
      <c r="I2" s="3" t="s">
        <v>15</v>
      </c>
      <c r="J2" s="3">
        <v>6</v>
      </c>
      <c r="K2" s="6" t="s">
        <v>16</v>
      </c>
    </row>
    <row r="3" spans="1:11" ht="12.75" x14ac:dyDescent="0.2">
      <c r="A3" s="3" t="s">
        <v>17</v>
      </c>
      <c r="B3" s="3" t="s">
        <v>18</v>
      </c>
      <c r="C3" s="3" t="s">
        <v>19</v>
      </c>
      <c r="D3" s="3" t="s">
        <v>643</v>
      </c>
      <c r="E3" s="72" t="str">
        <f>HYPERLINK("https://www.google.com/maps?q=-33.7367530129,-60.9658606698", "Ver mapa")</f>
        <v>Ver mapa</v>
      </c>
      <c r="F3" s="3" t="s">
        <v>12</v>
      </c>
      <c r="G3" s="7" t="s">
        <v>20</v>
      </c>
      <c r="H3" s="3" t="s">
        <v>21</v>
      </c>
      <c r="I3" s="3" t="s">
        <v>22</v>
      </c>
      <c r="J3" s="3">
        <v>1</v>
      </c>
      <c r="K3" s="6" t="s">
        <v>23</v>
      </c>
    </row>
    <row r="4" spans="1:11" ht="12.75" x14ac:dyDescent="0.2">
      <c r="A4" s="4" t="s">
        <v>24</v>
      </c>
      <c r="B4" s="4" t="s">
        <v>10</v>
      </c>
      <c r="C4" s="3" t="s">
        <v>25</v>
      </c>
      <c r="D4" s="3" t="s">
        <v>644</v>
      </c>
      <c r="E4" s="72" t="str">
        <f>HYPERLINK("https://www.google.com/maps?q=-33.6838377,-60.8231085", "Ver mapa")</f>
        <v>Ver mapa</v>
      </c>
      <c r="F4" s="3" t="s">
        <v>12</v>
      </c>
      <c r="G4" s="5" t="s">
        <v>13</v>
      </c>
      <c r="H4" s="3" t="s">
        <v>26</v>
      </c>
      <c r="I4" s="3" t="s">
        <v>27</v>
      </c>
      <c r="J4" s="3">
        <v>6</v>
      </c>
      <c r="K4" s="6" t="s">
        <v>16</v>
      </c>
    </row>
    <row r="5" spans="1:11" ht="12.75" x14ac:dyDescent="0.2">
      <c r="A5" s="4" t="s">
        <v>28</v>
      </c>
      <c r="B5" s="4" t="s">
        <v>10</v>
      </c>
      <c r="C5" s="4" t="s">
        <v>29</v>
      </c>
      <c r="D5" s="4" t="s">
        <v>645</v>
      </c>
      <c r="E5" s="72" t="str">
        <f>HYPERLINK("https://www.google.com/maps?q=-34.0678229,-60.6376004", "Ver mapa")</f>
        <v>Ver mapa</v>
      </c>
      <c r="F5" s="4" t="s">
        <v>12</v>
      </c>
      <c r="G5" s="5" t="s">
        <v>13</v>
      </c>
      <c r="H5" s="3" t="s">
        <v>30</v>
      </c>
      <c r="I5" s="3" t="s">
        <v>31</v>
      </c>
      <c r="J5" s="3">
        <v>2</v>
      </c>
      <c r="K5" s="6"/>
    </row>
    <row r="6" spans="1:11" ht="12.75" x14ac:dyDescent="0.2">
      <c r="A6" s="3" t="s">
        <v>32</v>
      </c>
      <c r="B6" s="4" t="s">
        <v>10</v>
      </c>
      <c r="C6" s="4" t="s">
        <v>33</v>
      </c>
      <c r="D6" s="4" t="s">
        <v>646</v>
      </c>
      <c r="E6" s="72" t="str">
        <f>HYPERLINK("https://www.google.com/maps?q=-33.629462,-60.8170228", "Ver mapa")</f>
        <v>Ver mapa</v>
      </c>
      <c r="F6" s="4" t="s">
        <v>12</v>
      </c>
      <c r="G6" s="5" t="s">
        <v>13</v>
      </c>
      <c r="H6" s="3" t="s">
        <v>34</v>
      </c>
      <c r="I6" s="3" t="s">
        <v>35</v>
      </c>
      <c r="J6" s="3">
        <v>6</v>
      </c>
      <c r="K6" s="6" t="s">
        <v>16</v>
      </c>
    </row>
    <row r="7" spans="1:11" ht="12.75" x14ac:dyDescent="0.2">
      <c r="A7" s="3" t="s">
        <v>36</v>
      </c>
      <c r="B7" s="3" t="s">
        <v>18</v>
      </c>
      <c r="C7" s="3" t="s">
        <v>37</v>
      </c>
      <c r="D7" s="3" t="s">
        <v>647</v>
      </c>
      <c r="E7" s="72" t="str">
        <f>HYPERLINK("https://www.google.com/maps?q=-33.8640579,-60.5734959", "Ver mapa")</f>
        <v>Ver mapa</v>
      </c>
      <c r="F7" s="3" t="s">
        <v>38</v>
      </c>
      <c r="G7" s="5" t="s">
        <v>13</v>
      </c>
      <c r="H7" s="3" t="s">
        <v>39</v>
      </c>
      <c r="I7" s="8" t="s">
        <v>40</v>
      </c>
      <c r="J7" s="3">
        <v>6</v>
      </c>
      <c r="K7" s="6" t="s">
        <v>41</v>
      </c>
    </row>
    <row r="8" spans="1:11" ht="12.75" x14ac:dyDescent="0.2">
      <c r="A8" s="3" t="s">
        <v>42</v>
      </c>
      <c r="B8" s="4" t="s">
        <v>10</v>
      </c>
      <c r="C8" s="9" t="s">
        <v>43</v>
      </c>
      <c r="D8" s="9" t="s">
        <v>648</v>
      </c>
      <c r="E8" s="73" t="str">
        <f>HYPERLINK("https://www.google.com/maps?q=-33.9146965456,-60.565977", "Ver mapa")</f>
        <v>Ver mapa</v>
      </c>
      <c r="F8" s="9" t="s">
        <v>44</v>
      </c>
      <c r="G8" s="5" t="s">
        <v>13</v>
      </c>
      <c r="H8" s="9" t="s">
        <v>45</v>
      </c>
      <c r="I8" s="9" t="s">
        <v>46</v>
      </c>
      <c r="J8" s="9">
        <v>7</v>
      </c>
      <c r="K8" s="6" t="s">
        <v>47</v>
      </c>
    </row>
    <row r="9" spans="1:11" ht="12.75" x14ac:dyDescent="0.2">
      <c r="A9" s="10" t="s">
        <v>48</v>
      </c>
      <c r="B9" s="11" t="s">
        <v>10</v>
      </c>
      <c r="C9" s="10" t="s">
        <v>49</v>
      </c>
      <c r="D9" s="10" t="s">
        <v>649</v>
      </c>
      <c r="E9" s="74" t="str">
        <f>HYPERLINK("https://www.google.com/maps?q=-33.8959745,-60.5733916", "Ver mapa")</f>
        <v>Ver mapa</v>
      </c>
      <c r="F9" s="10" t="s">
        <v>50</v>
      </c>
      <c r="G9" s="12" t="s">
        <v>13</v>
      </c>
      <c r="H9" s="10" t="s">
        <v>51</v>
      </c>
      <c r="I9" s="10" t="s">
        <v>52</v>
      </c>
      <c r="J9" s="10">
        <v>7</v>
      </c>
      <c r="K9" s="13" t="s">
        <v>53</v>
      </c>
    </row>
    <row r="10" spans="1:11" ht="12.75" x14ac:dyDescent="0.2">
      <c r="A10" s="14" t="s">
        <v>54</v>
      </c>
      <c r="B10" s="15" t="s">
        <v>10</v>
      </c>
      <c r="C10" s="15" t="s">
        <v>55</v>
      </c>
      <c r="D10" s="14" t="s">
        <v>650</v>
      </c>
      <c r="E10" s="75" t="str">
        <f>HYPERLINK("https://www.google.com/maps?q=-33.8906529,-60.572818", "Ver mapa")</f>
        <v>Ver mapa</v>
      </c>
      <c r="F10" s="14" t="s">
        <v>56</v>
      </c>
      <c r="G10" s="16" t="s">
        <v>13</v>
      </c>
      <c r="H10" s="17" t="s">
        <v>57</v>
      </c>
      <c r="I10" s="17" t="s">
        <v>58</v>
      </c>
      <c r="J10" s="17">
        <v>7</v>
      </c>
      <c r="K10" s="18"/>
    </row>
    <row r="11" spans="1:11" ht="12.75" x14ac:dyDescent="0.2">
      <c r="A11" s="19" t="s">
        <v>59</v>
      </c>
      <c r="B11" s="19" t="s">
        <v>18</v>
      </c>
      <c r="C11" s="19" t="s">
        <v>60</v>
      </c>
      <c r="D11" s="19" t="s">
        <v>651</v>
      </c>
      <c r="E11" s="76" t="str">
        <f>HYPERLINK("https://www.google.com/maps?q=-34.00265,-60.67075", "Ver mapa")</f>
        <v>Ver mapa</v>
      </c>
      <c r="F11" s="19" t="s">
        <v>12</v>
      </c>
      <c r="G11" s="20" t="s">
        <v>13</v>
      </c>
      <c r="H11" s="19" t="s">
        <v>61</v>
      </c>
      <c r="I11" s="21" t="s">
        <v>62</v>
      </c>
      <c r="J11" s="19">
        <v>3</v>
      </c>
      <c r="K11" s="22"/>
    </row>
    <row r="12" spans="1:11" ht="12.75" x14ac:dyDescent="0.2">
      <c r="A12" s="3" t="s">
        <v>63</v>
      </c>
      <c r="B12" s="3" t="s">
        <v>18</v>
      </c>
      <c r="C12" s="3" t="s">
        <v>64</v>
      </c>
      <c r="D12" s="3" t="s">
        <v>652</v>
      </c>
      <c r="E12" s="72" t="str">
        <f>HYPERLINK("https://www.google.com/maps?q=-34.0296536,-60.6532753", "Ver mapa")</f>
        <v>Ver mapa</v>
      </c>
      <c r="F12" s="3" t="s">
        <v>12</v>
      </c>
      <c r="G12" s="5" t="s">
        <v>13</v>
      </c>
      <c r="H12" s="3" t="s">
        <v>65</v>
      </c>
      <c r="I12" s="3" t="s">
        <v>66</v>
      </c>
      <c r="J12" s="3">
        <v>2</v>
      </c>
      <c r="K12" s="6"/>
    </row>
    <row r="13" spans="1:11" ht="12.75" x14ac:dyDescent="0.2">
      <c r="A13" s="4" t="s">
        <v>67</v>
      </c>
      <c r="B13" s="4" t="s">
        <v>18</v>
      </c>
      <c r="C13" s="4" t="s">
        <v>68</v>
      </c>
      <c r="D13" s="23" t="s">
        <v>653</v>
      </c>
      <c r="E13" s="77" t="s">
        <v>795</v>
      </c>
      <c r="F13" s="4" t="s">
        <v>12</v>
      </c>
      <c r="G13" s="5" t="s">
        <v>13</v>
      </c>
      <c r="H13" s="3" t="s">
        <v>69</v>
      </c>
      <c r="I13" s="8" t="s">
        <v>70</v>
      </c>
      <c r="J13" s="3">
        <v>3</v>
      </c>
      <c r="K13" s="6"/>
    </row>
    <row r="14" spans="1:11" ht="12.75" x14ac:dyDescent="0.2">
      <c r="A14" s="4" t="s">
        <v>71</v>
      </c>
      <c r="B14" s="24" t="s">
        <v>18</v>
      </c>
      <c r="C14" s="24" t="s">
        <v>72</v>
      </c>
      <c r="D14" s="4" t="s">
        <v>654</v>
      </c>
      <c r="E14" s="72" t="str">
        <f>HYPERLINK("https://www.google.com/maps?q=-33.73577,-60.923113", "Ver mapa")</f>
        <v>Ver mapa</v>
      </c>
      <c r="F14" s="4" t="s">
        <v>73</v>
      </c>
      <c r="G14" s="5" t="s">
        <v>13</v>
      </c>
      <c r="H14" s="3" t="s">
        <v>74</v>
      </c>
      <c r="I14" s="8" t="s">
        <v>75</v>
      </c>
      <c r="J14" s="3">
        <v>1</v>
      </c>
      <c r="K14" s="6"/>
    </row>
    <row r="15" spans="1:11" ht="12.75" x14ac:dyDescent="0.2">
      <c r="A15" s="4" t="s">
        <v>76</v>
      </c>
      <c r="B15" s="4" t="s">
        <v>18</v>
      </c>
      <c r="C15" s="4" t="s">
        <v>77</v>
      </c>
      <c r="D15" s="4" t="s">
        <v>655</v>
      </c>
      <c r="E15" s="72" t="str">
        <f>HYPERLINK("https://www.google.com/maps?q=-34.01285,-60.63933", "Ver mapa")</f>
        <v>Ver mapa</v>
      </c>
      <c r="F15" s="4" t="s">
        <v>12</v>
      </c>
      <c r="G15" s="7" t="s">
        <v>20</v>
      </c>
      <c r="H15" s="3" t="s">
        <v>78</v>
      </c>
      <c r="I15" s="3" t="s">
        <v>79</v>
      </c>
      <c r="J15" s="3">
        <v>2</v>
      </c>
      <c r="K15" s="6"/>
    </row>
    <row r="16" spans="1:11" ht="12.75" x14ac:dyDescent="0.2">
      <c r="A16" s="4" t="s">
        <v>80</v>
      </c>
      <c r="B16" s="4" t="s">
        <v>18</v>
      </c>
      <c r="C16" s="4" t="s">
        <v>81</v>
      </c>
      <c r="D16" s="4" t="s">
        <v>656</v>
      </c>
      <c r="E16" s="72" t="str">
        <f>HYPERLINK("https://www.google.com/maps?q=-33.893551,-60.69744", "Ver mapa")</f>
        <v>Ver mapa</v>
      </c>
      <c r="F16" s="4" t="s">
        <v>82</v>
      </c>
      <c r="G16" s="7" t="s">
        <v>20</v>
      </c>
      <c r="H16" s="3" t="s">
        <v>83</v>
      </c>
      <c r="I16" s="3" t="s">
        <v>84</v>
      </c>
      <c r="J16" s="3">
        <v>1</v>
      </c>
      <c r="K16" s="6"/>
    </row>
    <row r="17" spans="1:29" ht="12.75" x14ac:dyDescent="0.2">
      <c r="A17" s="4" t="s">
        <v>85</v>
      </c>
      <c r="B17" s="4" t="s">
        <v>18</v>
      </c>
      <c r="C17" s="4" t="s">
        <v>86</v>
      </c>
      <c r="D17" s="23" t="s">
        <v>657</v>
      </c>
      <c r="E17" s="77" t="s">
        <v>796</v>
      </c>
      <c r="F17" s="4" t="s">
        <v>12</v>
      </c>
      <c r="G17" s="5" t="s">
        <v>13</v>
      </c>
      <c r="H17" s="3" t="s">
        <v>87</v>
      </c>
      <c r="I17" s="8" t="s">
        <v>88</v>
      </c>
      <c r="J17" s="3">
        <v>2</v>
      </c>
      <c r="K17" s="6"/>
    </row>
    <row r="18" spans="1:29" ht="12.75" x14ac:dyDescent="0.2">
      <c r="A18" s="4" t="s">
        <v>89</v>
      </c>
      <c r="B18" s="24" t="s">
        <v>18</v>
      </c>
      <c r="C18" s="24" t="s">
        <v>90</v>
      </c>
      <c r="D18" s="4" t="s">
        <v>658</v>
      </c>
      <c r="E18" s="72" t="str">
        <f>HYPERLINK("https://www.google.com/maps?q=-,-", "Ver mapa")</f>
        <v>Ver mapa</v>
      </c>
      <c r="F18" s="4" t="s">
        <v>91</v>
      </c>
      <c r="G18" s="5" t="s">
        <v>13</v>
      </c>
      <c r="H18" s="3" t="s">
        <v>92</v>
      </c>
      <c r="I18" s="3" t="s">
        <v>93</v>
      </c>
      <c r="J18" s="3">
        <v>5</v>
      </c>
      <c r="K18" s="6"/>
    </row>
    <row r="19" spans="1:29" ht="12.75" x14ac:dyDescent="0.2">
      <c r="A19" s="4" t="s">
        <v>94</v>
      </c>
      <c r="B19" s="24" t="s">
        <v>18</v>
      </c>
      <c r="C19" s="4" t="s">
        <v>95</v>
      </c>
      <c r="D19" s="4" t="s">
        <v>659</v>
      </c>
      <c r="E19" s="72" t="str">
        <f>HYPERLINK("https://www.google.com/maps?q=-33.722005,-60.910804", "Ver mapa")</f>
        <v>Ver mapa</v>
      </c>
      <c r="F19" s="4" t="s">
        <v>96</v>
      </c>
      <c r="G19" s="5" t="s">
        <v>13</v>
      </c>
      <c r="H19" s="3" t="s">
        <v>97</v>
      </c>
      <c r="I19" s="8" t="s">
        <v>98</v>
      </c>
      <c r="J19" s="3">
        <v>1</v>
      </c>
      <c r="K19" s="6"/>
    </row>
    <row r="20" spans="1:29" ht="12.75" x14ac:dyDescent="0.2">
      <c r="A20" s="4" t="s">
        <v>99</v>
      </c>
      <c r="B20" s="24" t="s">
        <v>18</v>
      </c>
      <c r="C20" s="24" t="s">
        <v>19</v>
      </c>
      <c r="D20" s="4" t="s">
        <v>660</v>
      </c>
      <c r="E20" s="72" t="str">
        <f>HYPERLINK("https://www.google.com/maps?q=-33.757106,-60.945387", "Ver mapa")</f>
        <v>Ver mapa</v>
      </c>
      <c r="F20" s="4" t="s">
        <v>100</v>
      </c>
      <c r="G20" s="5" t="s">
        <v>13</v>
      </c>
      <c r="H20" s="3" t="s">
        <v>12</v>
      </c>
      <c r="I20" s="8" t="s">
        <v>12</v>
      </c>
      <c r="J20" s="3">
        <v>1</v>
      </c>
      <c r="K20" s="6"/>
    </row>
    <row r="21" spans="1:29" ht="12.75" x14ac:dyDescent="0.2">
      <c r="A21" s="4" t="s">
        <v>101</v>
      </c>
      <c r="B21" s="24" t="s">
        <v>18</v>
      </c>
      <c r="C21" s="4" t="s">
        <v>19</v>
      </c>
      <c r="D21" s="4" t="s">
        <v>661</v>
      </c>
      <c r="E21" s="72" t="str">
        <f>HYPERLINK("https://www.google.com/maps?q=-33.756694,-60.928402", "Ver mapa")</f>
        <v>Ver mapa</v>
      </c>
      <c r="F21" s="4" t="s">
        <v>102</v>
      </c>
      <c r="G21" s="5" t="s">
        <v>13</v>
      </c>
      <c r="H21" s="3" t="s">
        <v>12</v>
      </c>
      <c r="I21" s="8" t="s">
        <v>12</v>
      </c>
      <c r="J21" s="3">
        <v>1</v>
      </c>
      <c r="K21" s="6"/>
    </row>
    <row r="22" spans="1:29" ht="12.75" x14ac:dyDescent="0.2">
      <c r="A22" s="4" t="s">
        <v>103</v>
      </c>
      <c r="B22" s="4" t="s">
        <v>18</v>
      </c>
      <c r="C22" s="4" t="s">
        <v>104</v>
      </c>
      <c r="D22" s="4" t="s">
        <v>662</v>
      </c>
      <c r="E22" s="72" t="str">
        <f>HYPERLINK("https://www.google.com/maps?q=-33.833202,-60.712808", "Ver mapa")</f>
        <v>Ver mapa</v>
      </c>
      <c r="F22" s="4" t="s">
        <v>105</v>
      </c>
      <c r="G22" s="7" t="s">
        <v>20</v>
      </c>
      <c r="H22" s="3" t="s">
        <v>12</v>
      </c>
      <c r="I22" s="8" t="s">
        <v>12</v>
      </c>
      <c r="J22" s="3">
        <v>1</v>
      </c>
      <c r="K22" s="6"/>
    </row>
    <row r="23" spans="1:29" ht="12.75" x14ac:dyDescent="0.2">
      <c r="A23" s="4" t="s">
        <v>106</v>
      </c>
      <c r="B23" s="4" t="s">
        <v>18</v>
      </c>
      <c r="C23" s="4" t="s">
        <v>107</v>
      </c>
      <c r="D23" s="4" t="s">
        <v>663</v>
      </c>
      <c r="E23" s="72" t="str">
        <f>HYPERLINK("https://www.google.com/maps?q=-34.0230333,-60.5705", "Ver mapa")</f>
        <v>Ver mapa</v>
      </c>
      <c r="F23" s="4" t="s">
        <v>12</v>
      </c>
      <c r="G23" s="7" t="s">
        <v>20</v>
      </c>
      <c r="H23" s="3" t="s">
        <v>108</v>
      </c>
      <c r="I23" s="3" t="s">
        <v>109</v>
      </c>
      <c r="J23" s="3">
        <v>2</v>
      </c>
      <c r="K23" s="6"/>
    </row>
    <row r="24" spans="1:29" ht="12.75" x14ac:dyDescent="0.2">
      <c r="A24" s="3" t="s">
        <v>110</v>
      </c>
      <c r="B24" s="3" t="s">
        <v>18</v>
      </c>
      <c r="C24" s="3" t="s">
        <v>111</v>
      </c>
      <c r="D24" s="3" t="s">
        <v>664</v>
      </c>
      <c r="E24" s="72" t="str">
        <f>HYPERLINK("https://www.google.com/maps?q=-33.893379,-60.580707", "Ver mapa")</f>
        <v>Ver mapa</v>
      </c>
      <c r="F24" s="3" t="s">
        <v>112</v>
      </c>
      <c r="G24" s="5" t="s">
        <v>13</v>
      </c>
      <c r="H24" s="3" t="s">
        <v>113</v>
      </c>
      <c r="I24" s="3" t="s">
        <v>114</v>
      </c>
      <c r="J24" s="3">
        <v>7</v>
      </c>
      <c r="K24" s="6"/>
    </row>
    <row r="25" spans="1:29" ht="12.75" x14ac:dyDescent="0.2">
      <c r="A25" s="4" t="s">
        <v>115</v>
      </c>
      <c r="B25" s="4" t="s">
        <v>18</v>
      </c>
      <c r="C25" s="4" t="s">
        <v>116</v>
      </c>
      <c r="D25" s="4" t="s">
        <v>665</v>
      </c>
      <c r="E25" s="72" t="str">
        <f>HYPERLINK("https://www.google.com/maps?q=-34.02265,-60.6510333", "Ver mapa")</f>
        <v>Ver mapa</v>
      </c>
      <c r="F25" s="4" t="s">
        <v>12</v>
      </c>
      <c r="G25" s="25" t="s">
        <v>13</v>
      </c>
      <c r="H25" s="4" t="s">
        <v>117</v>
      </c>
      <c r="I25" s="26" t="s">
        <v>118</v>
      </c>
      <c r="J25" s="4">
        <v>2</v>
      </c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12.75" x14ac:dyDescent="0.2">
      <c r="A26" s="4" t="s">
        <v>119</v>
      </c>
      <c r="B26" s="4" t="s">
        <v>18</v>
      </c>
      <c r="C26" s="4" t="s">
        <v>120</v>
      </c>
      <c r="D26" s="23" t="s">
        <v>666</v>
      </c>
      <c r="E26" s="77" t="s">
        <v>797</v>
      </c>
      <c r="F26" s="4" t="s">
        <v>121</v>
      </c>
      <c r="G26" s="5" t="s">
        <v>13</v>
      </c>
      <c r="H26" s="3" t="s">
        <v>122</v>
      </c>
      <c r="I26" s="8" t="s">
        <v>123</v>
      </c>
      <c r="J26" s="3">
        <v>5</v>
      </c>
      <c r="K26" s="6"/>
    </row>
    <row r="27" spans="1:29" ht="12.75" x14ac:dyDescent="0.2">
      <c r="A27" s="4" t="s">
        <v>124</v>
      </c>
      <c r="B27" s="4" t="s">
        <v>18</v>
      </c>
      <c r="C27" s="4" t="s">
        <v>125</v>
      </c>
      <c r="D27" s="4" t="s">
        <v>667</v>
      </c>
      <c r="E27" s="72" t="str">
        <f>HYPERLINK("https://www.google.com/maps?q=-33.8410013,-60.7342047", "Ver mapa")</f>
        <v>Ver mapa</v>
      </c>
      <c r="F27" s="4" t="s">
        <v>126</v>
      </c>
      <c r="G27" s="7" t="s">
        <v>20</v>
      </c>
      <c r="H27" s="4" t="s">
        <v>127</v>
      </c>
      <c r="I27" s="26" t="s">
        <v>128</v>
      </c>
      <c r="J27" s="4">
        <v>1</v>
      </c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29" ht="12.75" x14ac:dyDescent="0.2">
      <c r="A28" s="4" t="s">
        <v>129</v>
      </c>
      <c r="B28" s="4" t="s">
        <v>18</v>
      </c>
      <c r="C28" s="4" t="s">
        <v>130</v>
      </c>
      <c r="D28" s="23" t="s">
        <v>668</v>
      </c>
      <c r="E28" s="77" t="s">
        <v>798</v>
      </c>
      <c r="F28" s="4" t="s">
        <v>131</v>
      </c>
      <c r="G28" s="5" t="s">
        <v>13</v>
      </c>
      <c r="H28" s="3" t="s">
        <v>132</v>
      </c>
      <c r="I28" s="3" t="s">
        <v>133</v>
      </c>
      <c r="J28" s="3">
        <v>1</v>
      </c>
      <c r="K28" s="6"/>
    </row>
    <row r="29" spans="1:29" ht="12.75" x14ac:dyDescent="0.2">
      <c r="A29" s="4" t="s">
        <v>134</v>
      </c>
      <c r="B29" s="4" t="s">
        <v>18</v>
      </c>
      <c r="C29" s="4" t="s">
        <v>135</v>
      </c>
      <c r="D29" s="23" t="s">
        <v>669</v>
      </c>
      <c r="E29" s="77" t="s">
        <v>799</v>
      </c>
      <c r="F29" s="4" t="s">
        <v>136</v>
      </c>
      <c r="G29" s="5" t="s">
        <v>13</v>
      </c>
      <c r="H29" s="3" t="s">
        <v>137</v>
      </c>
      <c r="I29" s="3" t="s">
        <v>138</v>
      </c>
      <c r="J29" s="3">
        <v>1</v>
      </c>
      <c r="K29" s="6"/>
    </row>
    <row r="30" spans="1:29" ht="12.75" x14ac:dyDescent="0.2">
      <c r="A30" s="3" t="s">
        <v>139</v>
      </c>
      <c r="B30" s="3" t="s">
        <v>18</v>
      </c>
      <c r="C30" s="3" t="s">
        <v>140</v>
      </c>
      <c r="D30" s="3" t="s">
        <v>670</v>
      </c>
      <c r="E30" s="72" t="str">
        <f>HYPERLINK("https://www.google.com/maps?q=-33.9580245,-60.6384772", "Ver mapa")</f>
        <v>Ver mapa</v>
      </c>
      <c r="F30" s="3" t="s">
        <v>141</v>
      </c>
      <c r="G30" s="5" t="s">
        <v>13</v>
      </c>
      <c r="H30" s="3" t="s">
        <v>142</v>
      </c>
      <c r="I30" s="8" t="s">
        <v>143</v>
      </c>
      <c r="J30" s="3">
        <v>3</v>
      </c>
      <c r="K30" s="6"/>
    </row>
    <row r="31" spans="1:29" ht="12.75" x14ac:dyDescent="0.2">
      <c r="A31" s="4" t="s">
        <v>144</v>
      </c>
      <c r="B31" s="4" t="s">
        <v>18</v>
      </c>
      <c r="C31" s="4" t="s">
        <v>145</v>
      </c>
      <c r="D31" s="4" t="s">
        <v>671</v>
      </c>
      <c r="E31" s="72" t="str">
        <f>HYPERLINK("https://www.google.com/maps?q=-33.9994,-60.63263", "Ver mapa")</f>
        <v>Ver mapa</v>
      </c>
      <c r="F31" s="4" t="s">
        <v>12</v>
      </c>
      <c r="G31" s="5" t="s">
        <v>13</v>
      </c>
      <c r="H31" s="3" t="s">
        <v>146</v>
      </c>
      <c r="I31" s="8" t="s">
        <v>147</v>
      </c>
      <c r="J31" s="3">
        <v>2</v>
      </c>
      <c r="K31" s="6"/>
    </row>
    <row r="32" spans="1:29" ht="12.75" x14ac:dyDescent="0.2">
      <c r="A32" s="3" t="s">
        <v>148</v>
      </c>
      <c r="B32" s="3" t="s">
        <v>18</v>
      </c>
      <c r="C32" s="3" t="s">
        <v>19</v>
      </c>
      <c r="D32" s="3" t="s">
        <v>672</v>
      </c>
      <c r="E32" s="72" t="str">
        <f>HYPERLINK("https://www.google.com/maps?q=-33.727105,-60.945187", "Ver mapa")</f>
        <v>Ver mapa</v>
      </c>
      <c r="F32" s="3" t="s">
        <v>149</v>
      </c>
      <c r="G32" s="5" t="s">
        <v>13</v>
      </c>
      <c r="H32" s="3" t="s">
        <v>150</v>
      </c>
      <c r="I32" s="8" t="s">
        <v>151</v>
      </c>
      <c r="J32" s="3">
        <v>1</v>
      </c>
      <c r="K32" s="6"/>
    </row>
    <row r="33" spans="1:29" ht="12.75" x14ac:dyDescent="0.2">
      <c r="A33" s="4" t="s">
        <v>152</v>
      </c>
      <c r="B33" s="4" t="s">
        <v>18</v>
      </c>
      <c r="C33" s="4" t="s">
        <v>153</v>
      </c>
      <c r="D33" s="4" t="s">
        <v>673</v>
      </c>
      <c r="E33" s="72" t="str">
        <f>HYPERLINK("https://www.google.com/maps?q=-33.87574,-60.625933", "Ver mapa")</f>
        <v>Ver mapa</v>
      </c>
      <c r="F33" s="4" t="s">
        <v>154</v>
      </c>
      <c r="G33" s="5" t="s">
        <v>13</v>
      </c>
      <c r="H33" s="3" t="s">
        <v>155</v>
      </c>
      <c r="I33" s="8" t="s">
        <v>156</v>
      </c>
      <c r="J33" s="3">
        <v>1</v>
      </c>
      <c r="K33" s="6"/>
    </row>
    <row r="34" spans="1:29" ht="12.75" x14ac:dyDescent="0.2">
      <c r="A34" s="4" t="s">
        <v>157</v>
      </c>
      <c r="B34" s="24" t="s">
        <v>18</v>
      </c>
      <c r="C34" s="24" t="s">
        <v>158</v>
      </c>
      <c r="D34" s="4" t="s">
        <v>674</v>
      </c>
      <c r="E34" s="72" t="str">
        <f>HYPERLINK("https://www.google.com/maps?q=-33.800628,-60.837999", "Ver mapa")</f>
        <v>Ver mapa</v>
      </c>
      <c r="F34" s="4" t="s">
        <v>159</v>
      </c>
      <c r="G34" s="5" t="s">
        <v>13</v>
      </c>
      <c r="H34" s="3" t="s">
        <v>160</v>
      </c>
      <c r="I34" s="3" t="s">
        <v>161</v>
      </c>
      <c r="J34" s="3">
        <v>1</v>
      </c>
      <c r="K34" s="6"/>
    </row>
    <row r="35" spans="1:29" ht="12.75" x14ac:dyDescent="0.2">
      <c r="A35" s="4" t="s">
        <v>162</v>
      </c>
      <c r="B35" s="4" t="s">
        <v>18</v>
      </c>
      <c r="C35" s="4" t="s">
        <v>163</v>
      </c>
      <c r="D35" s="23" t="s">
        <v>675</v>
      </c>
      <c r="E35" s="77" t="s">
        <v>800</v>
      </c>
      <c r="F35" s="4" t="s">
        <v>12</v>
      </c>
      <c r="G35" s="5" t="s">
        <v>13</v>
      </c>
      <c r="H35" s="3" t="s">
        <v>164</v>
      </c>
      <c r="I35" s="3" t="s">
        <v>165</v>
      </c>
      <c r="J35" s="3">
        <v>2</v>
      </c>
      <c r="K35" s="6"/>
    </row>
    <row r="36" spans="1:29" ht="12.75" x14ac:dyDescent="0.2">
      <c r="A36" s="4" t="s">
        <v>166</v>
      </c>
      <c r="B36" s="4" t="s">
        <v>18</v>
      </c>
      <c r="C36" s="4" t="s">
        <v>167</v>
      </c>
      <c r="D36" s="23" t="s">
        <v>676</v>
      </c>
      <c r="E36" s="77" t="s">
        <v>801</v>
      </c>
      <c r="F36" s="4" t="s">
        <v>168</v>
      </c>
      <c r="G36" s="5" t="s">
        <v>13</v>
      </c>
      <c r="H36" s="3" t="s">
        <v>169</v>
      </c>
      <c r="I36" s="8" t="s">
        <v>170</v>
      </c>
      <c r="J36" s="3">
        <v>7</v>
      </c>
      <c r="K36" s="6"/>
    </row>
    <row r="37" spans="1:29" ht="12.75" x14ac:dyDescent="0.2">
      <c r="A37" s="11" t="s">
        <v>171</v>
      </c>
      <c r="B37" s="10" t="s">
        <v>18</v>
      </c>
      <c r="C37" s="11" t="s">
        <v>172</v>
      </c>
      <c r="D37" s="29" t="s">
        <v>677</v>
      </c>
      <c r="E37" s="78" t="s">
        <v>802</v>
      </c>
      <c r="F37" s="11" t="s">
        <v>12</v>
      </c>
      <c r="G37" s="12" t="s">
        <v>13</v>
      </c>
      <c r="H37" s="10" t="s">
        <v>173</v>
      </c>
      <c r="I37" s="10" t="s">
        <v>174</v>
      </c>
      <c r="J37" s="10">
        <v>2</v>
      </c>
      <c r="K37" s="13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ht="12.75" x14ac:dyDescent="0.2">
      <c r="A38" s="19" t="s">
        <v>175</v>
      </c>
      <c r="B38" s="19" t="s">
        <v>18</v>
      </c>
      <c r="C38" s="19" t="s">
        <v>176</v>
      </c>
      <c r="D38" s="19" t="s">
        <v>678</v>
      </c>
      <c r="E38" s="76" t="str">
        <f>HYPERLINK("https://www.google.com/maps?q=-33.8968637,-60.5740559", "Ver mapa")</f>
        <v>Ver mapa</v>
      </c>
      <c r="F38" s="19" t="s">
        <v>177</v>
      </c>
      <c r="G38" s="20" t="s">
        <v>13</v>
      </c>
      <c r="H38" s="19" t="s">
        <v>178</v>
      </c>
      <c r="I38" s="21" t="s">
        <v>179</v>
      </c>
      <c r="J38" s="19">
        <v>7</v>
      </c>
      <c r="K38" s="22"/>
    </row>
    <row r="39" spans="1:29" ht="12.75" x14ac:dyDescent="0.2">
      <c r="A39" s="3" t="s">
        <v>180</v>
      </c>
      <c r="B39" s="3" t="s">
        <v>18</v>
      </c>
      <c r="C39" s="3" t="s">
        <v>181</v>
      </c>
      <c r="D39" s="3" t="s">
        <v>679</v>
      </c>
      <c r="E39" s="72" t="str">
        <f>HYPERLINK("https://www.google.com/maps?q=-33.8973435,-60.5771727", "Ver mapa")</f>
        <v>Ver mapa</v>
      </c>
      <c r="F39" s="3" t="s">
        <v>182</v>
      </c>
      <c r="G39" s="5" t="s">
        <v>13</v>
      </c>
      <c r="H39" s="3" t="s">
        <v>183</v>
      </c>
      <c r="I39" s="8" t="s">
        <v>184</v>
      </c>
      <c r="J39" s="3">
        <v>7</v>
      </c>
      <c r="K39" s="6"/>
    </row>
    <row r="40" spans="1:29" ht="12.75" x14ac:dyDescent="0.2">
      <c r="A40" s="3" t="s">
        <v>185</v>
      </c>
      <c r="B40" s="3" t="s">
        <v>18</v>
      </c>
      <c r="C40" s="3" t="s">
        <v>186</v>
      </c>
      <c r="D40" s="3" t="s">
        <v>680</v>
      </c>
      <c r="E40" s="72" t="str">
        <f>HYPERLINK("https://www.google.com/maps?q=-33.8943184,-60.5731575", "Ver mapa")</f>
        <v>Ver mapa</v>
      </c>
      <c r="F40" s="3" t="s">
        <v>187</v>
      </c>
      <c r="G40" s="5" t="s">
        <v>13</v>
      </c>
      <c r="H40" s="3" t="s">
        <v>188</v>
      </c>
      <c r="I40" s="8" t="s">
        <v>189</v>
      </c>
      <c r="J40" s="3">
        <v>7</v>
      </c>
      <c r="K40" s="6"/>
    </row>
    <row r="41" spans="1:29" ht="12.75" x14ac:dyDescent="0.2">
      <c r="A41" s="3" t="s">
        <v>190</v>
      </c>
      <c r="B41" s="3" t="s">
        <v>18</v>
      </c>
      <c r="C41" s="3" t="s">
        <v>191</v>
      </c>
      <c r="D41" s="3" t="s">
        <v>681</v>
      </c>
      <c r="E41" s="72" t="str">
        <f>HYPERLINK("https://www.google.com/maps?q=-33.896709,-60.5763538", "Ver mapa")</f>
        <v>Ver mapa</v>
      </c>
      <c r="F41" s="3" t="s">
        <v>192</v>
      </c>
      <c r="G41" s="5" t="s">
        <v>13</v>
      </c>
      <c r="H41" s="3" t="s">
        <v>193</v>
      </c>
      <c r="I41" s="3" t="s">
        <v>194</v>
      </c>
      <c r="J41" s="3"/>
      <c r="K41" s="6"/>
    </row>
    <row r="42" spans="1:29" ht="12.75" x14ac:dyDescent="0.2">
      <c r="A42" s="4" t="s">
        <v>195</v>
      </c>
      <c r="B42" s="24" t="s">
        <v>18</v>
      </c>
      <c r="C42" s="24" t="s">
        <v>196</v>
      </c>
      <c r="D42" s="4" t="s">
        <v>682</v>
      </c>
      <c r="E42" s="72" t="str">
        <f>HYPERLINK("https://www.google.com/maps?q=-33.8945808,-60.5733526", "Ver mapa")</f>
        <v>Ver mapa</v>
      </c>
      <c r="F42" s="4" t="s">
        <v>197</v>
      </c>
      <c r="G42" s="5" t="s">
        <v>13</v>
      </c>
      <c r="H42" s="3" t="s">
        <v>198</v>
      </c>
      <c r="I42" s="8" t="s">
        <v>198</v>
      </c>
      <c r="J42" s="3">
        <v>7</v>
      </c>
      <c r="K42" s="6"/>
    </row>
    <row r="43" spans="1:29" ht="12.75" x14ac:dyDescent="0.2">
      <c r="A43" s="3" t="s">
        <v>199</v>
      </c>
      <c r="B43" s="3" t="s">
        <v>18</v>
      </c>
      <c r="C43" s="3" t="s">
        <v>200</v>
      </c>
      <c r="D43" s="31" t="s">
        <v>683</v>
      </c>
      <c r="E43" s="79" t="str">
        <f>HYPERLINK("https://www.google.com/maps?q=-33.8941514,-60.5720066", "Ver mapa")</f>
        <v>Ver mapa</v>
      </c>
      <c r="F43" s="3" t="s">
        <v>201</v>
      </c>
      <c r="G43" s="5" t="s">
        <v>13</v>
      </c>
      <c r="H43" s="3" t="s">
        <v>202</v>
      </c>
      <c r="I43" s="8" t="s">
        <v>203</v>
      </c>
      <c r="J43" s="3">
        <v>7</v>
      </c>
      <c r="K43" s="6"/>
    </row>
    <row r="44" spans="1:29" ht="12.75" x14ac:dyDescent="0.2">
      <c r="A44" s="4" t="s">
        <v>204</v>
      </c>
      <c r="B44" s="24" t="s">
        <v>18</v>
      </c>
      <c r="C44" s="24" t="s">
        <v>205</v>
      </c>
      <c r="D44" s="4" t="s">
        <v>684</v>
      </c>
      <c r="E44" s="72" t="str">
        <f>HYPERLINK("https://www.google.com/maps?q=-33.8966719,-60.5764334", "Ver mapa")</f>
        <v>Ver mapa</v>
      </c>
      <c r="F44" s="4" t="s">
        <v>206</v>
      </c>
      <c r="G44" s="5" t="s">
        <v>13</v>
      </c>
      <c r="H44" s="3" t="s">
        <v>207</v>
      </c>
      <c r="I44" s="8" t="s">
        <v>208</v>
      </c>
      <c r="J44" s="3">
        <v>7</v>
      </c>
      <c r="K44" s="6"/>
    </row>
    <row r="45" spans="1:29" ht="12.75" x14ac:dyDescent="0.2">
      <c r="A45" s="4" t="s">
        <v>209</v>
      </c>
      <c r="B45" s="4" t="s">
        <v>18</v>
      </c>
      <c r="C45" s="4" t="s">
        <v>210</v>
      </c>
      <c r="D45" s="4" t="s">
        <v>685</v>
      </c>
      <c r="E45" s="72" t="str">
        <f>HYPERLINK("https://www.google.com/maps?q=-33.8956139,-60.5725977", "Ver mapa")</f>
        <v>Ver mapa</v>
      </c>
      <c r="F45" s="4" t="s">
        <v>211</v>
      </c>
      <c r="G45" s="25" t="s">
        <v>13</v>
      </c>
      <c r="H45" s="4" t="s">
        <v>212</v>
      </c>
      <c r="I45" s="26" t="s">
        <v>213</v>
      </c>
      <c r="J45" s="4">
        <v>7</v>
      </c>
      <c r="K45" s="27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1:29" ht="12.75" x14ac:dyDescent="0.2">
      <c r="A46" s="3" t="s">
        <v>214</v>
      </c>
      <c r="B46" s="3" t="s">
        <v>18</v>
      </c>
      <c r="C46" s="3" t="s">
        <v>215</v>
      </c>
      <c r="D46" s="3" t="s">
        <v>686</v>
      </c>
      <c r="E46" s="72" t="str">
        <f>HYPERLINK("https://www.google.com/maps?q=-33.8940492,-60.5725168", "Ver mapa")</f>
        <v>Ver mapa</v>
      </c>
      <c r="F46" s="3" t="s">
        <v>216</v>
      </c>
      <c r="G46" s="5" t="s">
        <v>13</v>
      </c>
      <c r="H46" s="3" t="s">
        <v>217</v>
      </c>
      <c r="I46" s="8" t="s">
        <v>218</v>
      </c>
      <c r="J46" s="3">
        <v>7</v>
      </c>
      <c r="K46" s="6"/>
    </row>
    <row r="47" spans="1:29" ht="12.75" x14ac:dyDescent="0.2">
      <c r="A47" s="4" t="s">
        <v>219</v>
      </c>
      <c r="B47" s="24" t="s">
        <v>18</v>
      </c>
      <c r="C47" s="24" t="s">
        <v>220</v>
      </c>
      <c r="D47" s="32" t="s">
        <v>687</v>
      </c>
      <c r="E47" s="77" t="s">
        <v>803</v>
      </c>
      <c r="F47" s="4" t="s">
        <v>221</v>
      </c>
      <c r="G47" s="5" t="s">
        <v>13</v>
      </c>
      <c r="H47" s="3" t="s">
        <v>222</v>
      </c>
      <c r="I47" s="8" t="s">
        <v>223</v>
      </c>
      <c r="J47" s="3">
        <v>7</v>
      </c>
      <c r="K47" s="6"/>
    </row>
    <row r="48" spans="1:29" ht="12.75" x14ac:dyDescent="0.2">
      <c r="A48" s="4" t="s">
        <v>224</v>
      </c>
      <c r="B48" s="24" t="s">
        <v>18</v>
      </c>
      <c r="C48" s="24" t="s">
        <v>225</v>
      </c>
      <c r="D48" s="4" t="s">
        <v>688</v>
      </c>
      <c r="E48" s="72" t="str">
        <f>HYPERLINK("https://www.google.com/maps?q=-33.8966124,-60.5764601", "Ver mapa")</f>
        <v>Ver mapa</v>
      </c>
      <c r="F48" s="4" t="s">
        <v>226</v>
      </c>
      <c r="G48" s="5" t="s">
        <v>13</v>
      </c>
      <c r="H48" s="3" t="s">
        <v>227</v>
      </c>
      <c r="I48" s="8" t="s">
        <v>228</v>
      </c>
      <c r="J48" s="3">
        <v>7</v>
      </c>
      <c r="K48" s="6"/>
    </row>
    <row r="49" spans="1:11" ht="12.75" x14ac:dyDescent="0.2">
      <c r="A49" s="4" t="s">
        <v>229</v>
      </c>
      <c r="B49" s="24" t="s">
        <v>18</v>
      </c>
      <c r="C49" s="24" t="s">
        <v>230</v>
      </c>
      <c r="D49" s="4" t="s">
        <v>684</v>
      </c>
      <c r="E49" s="72" t="str">
        <f>HYPERLINK("https://www.google.com/maps?q=-33.8966719,-60.5764334", "Ver mapa")</f>
        <v>Ver mapa</v>
      </c>
      <c r="F49" s="4" t="s">
        <v>231</v>
      </c>
      <c r="G49" s="5" t="s">
        <v>13</v>
      </c>
      <c r="H49" s="3" t="s">
        <v>232</v>
      </c>
      <c r="I49" s="3" t="s">
        <v>233</v>
      </c>
      <c r="J49" s="3">
        <v>7</v>
      </c>
      <c r="K49" s="6"/>
    </row>
    <row r="50" spans="1:11" ht="12.75" x14ac:dyDescent="0.2">
      <c r="A50" s="4" t="s">
        <v>234</v>
      </c>
      <c r="B50" s="24" t="s">
        <v>18</v>
      </c>
      <c r="C50" s="24" t="s">
        <v>235</v>
      </c>
      <c r="D50" s="4" t="s">
        <v>689</v>
      </c>
      <c r="E50" s="72" t="str">
        <f>HYPERLINK("https://www.google.com/maps?q=-33.896598,-60.5740286", "Ver mapa")</f>
        <v>Ver mapa</v>
      </c>
      <c r="F50" s="4" t="s">
        <v>236</v>
      </c>
      <c r="G50" s="5" t="s">
        <v>13</v>
      </c>
      <c r="H50" s="3" t="s">
        <v>237</v>
      </c>
      <c r="I50" s="8" t="s">
        <v>238</v>
      </c>
      <c r="J50" s="3">
        <v>7</v>
      </c>
      <c r="K50" s="6"/>
    </row>
    <row r="51" spans="1:11" ht="12.75" x14ac:dyDescent="0.2">
      <c r="A51" s="4" t="s">
        <v>239</v>
      </c>
      <c r="B51" s="24" t="s">
        <v>18</v>
      </c>
      <c r="C51" s="24" t="s">
        <v>240</v>
      </c>
      <c r="D51" s="4" t="s">
        <v>690</v>
      </c>
      <c r="E51" s="72" t="str">
        <f>HYPERLINK("https://www.google.com/maps?q=-33.8967997,-60.5740536", "Ver mapa")</f>
        <v>Ver mapa</v>
      </c>
      <c r="F51" s="4" t="s">
        <v>241</v>
      </c>
      <c r="G51" s="5" t="s">
        <v>13</v>
      </c>
      <c r="H51" s="3" t="s">
        <v>242</v>
      </c>
      <c r="I51" s="8" t="s">
        <v>243</v>
      </c>
      <c r="J51" s="3">
        <v>7</v>
      </c>
      <c r="K51" s="6"/>
    </row>
    <row r="52" spans="1:11" ht="12.75" x14ac:dyDescent="0.2">
      <c r="A52" s="4" t="s">
        <v>244</v>
      </c>
      <c r="B52" s="24" t="s">
        <v>18</v>
      </c>
      <c r="C52" s="24" t="s">
        <v>245</v>
      </c>
      <c r="D52" s="4" t="s">
        <v>691</v>
      </c>
      <c r="E52" s="72" t="str">
        <f>HYPERLINK("https://www.google.com/maps?q=-33.8960883,-60.5742245", "Ver mapa")</f>
        <v>Ver mapa</v>
      </c>
      <c r="F52" s="4" t="s">
        <v>246</v>
      </c>
      <c r="G52" s="5" t="s">
        <v>13</v>
      </c>
      <c r="H52" s="3" t="s">
        <v>247</v>
      </c>
      <c r="I52" s="8" t="s">
        <v>248</v>
      </c>
      <c r="J52" s="3">
        <v>7</v>
      </c>
      <c r="K52" s="6"/>
    </row>
    <row r="53" spans="1:11" ht="12.75" x14ac:dyDescent="0.2">
      <c r="A53" s="4" t="s">
        <v>249</v>
      </c>
      <c r="B53" s="24" t="s">
        <v>18</v>
      </c>
      <c r="C53" s="24" t="s">
        <v>250</v>
      </c>
      <c r="D53" s="4" t="s">
        <v>692</v>
      </c>
      <c r="E53" s="72" t="str">
        <f>HYPERLINK("https://www.google.com/maps?q=-33.8970107,-60.5743458", "Ver mapa")</f>
        <v>Ver mapa</v>
      </c>
      <c r="F53" s="4" t="s">
        <v>251</v>
      </c>
      <c r="G53" s="7" t="s">
        <v>20</v>
      </c>
      <c r="H53" s="3" t="s">
        <v>252</v>
      </c>
      <c r="I53" s="3" t="s">
        <v>253</v>
      </c>
      <c r="J53" s="3">
        <v>7</v>
      </c>
      <c r="K53" s="6"/>
    </row>
    <row r="54" spans="1:11" ht="12.75" x14ac:dyDescent="0.2">
      <c r="A54" s="3" t="s">
        <v>254</v>
      </c>
      <c r="B54" s="3" t="s">
        <v>18</v>
      </c>
      <c r="C54" s="3" t="s">
        <v>255</v>
      </c>
      <c r="D54" s="3" t="s">
        <v>693</v>
      </c>
      <c r="E54" s="72" t="str">
        <f>HYPERLINK("https://www.google.com/maps?q=-33.8991593,-60.5733502", "Ver mapa")</f>
        <v>Ver mapa</v>
      </c>
      <c r="F54" s="3" t="s">
        <v>256</v>
      </c>
      <c r="G54" s="5" t="s">
        <v>13</v>
      </c>
      <c r="H54" s="3" t="s">
        <v>257</v>
      </c>
      <c r="I54" s="8" t="s">
        <v>258</v>
      </c>
      <c r="J54" s="3">
        <v>7</v>
      </c>
      <c r="K54" s="6"/>
    </row>
    <row r="55" spans="1:11" ht="12.75" x14ac:dyDescent="0.2">
      <c r="A55" s="3" t="s">
        <v>259</v>
      </c>
      <c r="B55" s="3" t="s">
        <v>18</v>
      </c>
      <c r="C55" s="3" t="s">
        <v>260</v>
      </c>
      <c r="D55" s="3" t="s">
        <v>658</v>
      </c>
      <c r="E55" s="72" t="str">
        <f>HYPERLINK("https://www.google.com/maps?q=-,-", "Ver mapa")</f>
        <v>Ver mapa</v>
      </c>
      <c r="F55" s="3" t="s">
        <v>12</v>
      </c>
      <c r="G55" s="5" t="s">
        <v>13</v>
      </c>
      <c r="H55" s="3" t="s">
        <v>261</v>
      </c>
      <c r="I55" s="8" t="s">
        <v>262</v>
      </c>
      <c r="J55" s="3">
        <v>7</v>
      </c>
      <c r="K55" s="6"/>
    </row>
    <row r="56" spans="1:11" ht="12.75" x14ac:dyDescent="0.2">
      <c r="A56" s="3" t="s">
        <v>263</v>
      </c>
      <c r="B56" s="3" t="s">
        <v>18</v>
      </c>
      <c r="C56" s="3" t="s">
        <v>264</v>
      </c>
      <c r="D56" s="3" t="s">
        <v>694</v>
      </c>
      <c r="E56" s="72" t="str">
        <f>HYPERLINK("https://www.google.com/maps?q=-33.8963408,-60.5743782", "Ver mapa")</f>
        <v>Ver mapa</v>
      </c>
      <c r="F56" s="3" t="s">
        <v>265</v>
      </c>
      <c r="G56" s="5" t="s">
        <v>13</v>
      </c>
      <c r="H56" s="3" t="s">
        <v>266</v>
      </c>
      <c r="I56" s="8" t="s">
        <v>267</v>
      </c>
      <c r="J56" s="3">
        <v>7</v>
      </c>
      <c r="K56" s="6"/>
    </row>
    <row r="57" spans="1:11" ht="12.75" x14ac:dyDescent="0.2">
      <c r="A57" s="4" t="s">
        <v>268</v>
      </c>
      <c r="B57" s="4" t="s">
        <v>18</v>
      </c>
      <c r="C57" s="4" t="s">
        <v>269</v>
      </c>
      <c r="D57" s="4" t="s">
        <v>695</v>
      </c>
      <c r="E57" s="72" t="str">
        <f>HYPERLINK("https://www.google.com/maps?q=-33.894786,-60.5732252", "Ver mapa")</f>
        <v>Ver mapa</v>
      </c>
      <c r="F57" s="4" t="s">
        <v>270</v>
      </c>
      <c r="G57" s="25" t="s">
        <v>13</v>
      </c>
      <c r="H57" s="4" t="s">
        <v>271</v>
      </c>
      <c r="I57" s="26" t="s">
        <v>272</v>
      </c>
      <c r="J57" s="4">
        <v>7</v>
      </c>
      <c r="K57" s="6"/>
    </row>
    <row r="58" spans="1:11" ht="12.75" x14ac:dyDescent="0.2">
      <c r="A58" s="4" t="s">
        <v>273</v>
      </c>
      <c r="B58" s="24" t="s">
        <v>18</v>
      </c>
      <c r="C58" s="24" t="s">
        <v>274</v>
      </c>
      <c r="D58" s="32" t="s">
        <v>696</v>
      </c>
      <c r="E58" s="77" t="s">
        <v>804</v>
      </c>
      <c r="F58" s="4" t="s">
        <v>275</v>
      </c>
      <c r="G58" s="5" t="s">
        <v>13</v>
      </c>
      <c r="H58" s="3" t="s">
        <v>276</v>
      </c>
      <c r="I58" s="8" t="s">
        <v>277</v>
      </c>
      <c r="J58" s="3">
        <v>7</v>
      </c>
      <c r="K58" s="6"/>
    </row>
    <row r="59" spans="1:11" ht="12.75" x14ac:dyDescent="0.2">
      <c r="A59" s="3" t="s">
        <v>278</v>
      </c>
      <c r="B59" s="3" t="s">
        <v>18</v>
      </c>
      <c r="C59" s="3" t="s">
        <v>279</v>
      </c>
      <c r="D59" s="3" t="s">
        <v>697</v>
      </c>
      <c r="E59" s="72" t="str">
        <f>HYPERLINK("https://www.google.com/maps?q=-33.8937917,-60.5728397", "Ver mapa")</f>
        <v>Ver mapa</v>
      </c>
      <c r="F59" s="3" t="s">
        <v>280</v>
      </c>
      <c r="G59" s="5" t="s">
        <v>13</v>
      </c>
      <c r="H59" s="3" t="s">
        <v>281</v>
      </c>
      <c r="I59" s="8" t="s">
        <v>282</v>
      </c>
      <c r="J59" s="3">
        <v>7</v>
      </c>
      <c r="K59" s="6"/>
    </row>
    <row r="60" spans="1:11" ht="12.75" x14ac:dyDescent="0.2">
      <c r="A60" s="3" t="s">
        <v>283</v>
      </c>
      <c r="B60" s="3" t="s">
        <v>18</v>
      </c>
      <c r="C60" s="3" t="s">
        <v>284</v>
      </c>
      <c r="D60" s="3" t="s">
        <v>698</v>
      </c>
      <c r="E60" s="72" t="str">
        <f>HYPERLINK("https://www.google.com/maps?q=-33.8941588,-60.57301", "Ver mapa")</f>
        <v>Ver mapa</v>
      </c>
      <c r="F60" s="3" t="s">
        <v>285</v>
      </c>
      <c r="G60" s="5" t="s">
        <v>13</v>
      </c>
      <c r="H60" s="3" t="s">
        <v>286</v>
      </c>
      <c r="I60" s="8" t="s">
        <v>287</v>
      </c>
      <c r="J60" s="3">
        <v>7</v>
      </c>
      <c r="K60" s="6"/>
    </row>
    <row r="61" spans="1:11" ht="12.75" x14ac:dyDescent="0.2">
      <c r="A61" s="3" t="s">
        <v>288</v>
      </c>
      <c r="B61" s="3" t="s">
        <v>18</v>
      </c>
      <c r="C61" s="3" t="s">
        <v>289</v>
      </c>
      <c r="D61" s="3" t="s">
        <v>699</v>
      </c>
      <c r="E61" s="72" t="str">
        <f>HYPERLINK("https://www.google.com/maps?q=-33.8957155,-60.5735231", "Ver mapa")</f>
        <v>Ver mapa</v>
      </c>
      <c r="F61" s="3" t="s">
        <v>290</v>
      </c>
      <c r="G61" s="5" t="s">
        <v>13</v>
      </c>
      <c r="H61" s="3" t="s">
        <v>291</v>
      </c>
      <c r="I61" s="3" t="s">
        <v>292</v>
      </c>
      <c r="J61" s="3">
        <v>7</v>
      </c>
      <c r="K61" s="6"/>
    </row>
    <row r="62" spans="1:11" ht="12.75" x14ac:dyDescent="0.2">
      <c r="A62" s="4" t="s">
        <v>293</v>
      </c>
      <c r="B62" s="24" t="s">
        <v>18</v>
      </c>
      <c r="C62" s="24" t="s">
        <v>294</v>
      </c>
      <c r="D62" s="4" t="s">
        <v>700</v>
      </c>
      <c r="E62" s="72" t="str">
        <f>HYPERLINK("https://www.google.com/maps?q=-33.8933545,-60.5724876", "Ver mapa")</f>
        <v>Ver mapa</v>
      </c>
      <c r="F62" s="4" t="s">
        <v>295</v>
      </c>
      <c r="G62" s="5" t="s">
        <v>13</v>
      </c>
      <c r="H62" s="3" t="s">
        <v>296</v>
      </c>
      <c r="I62" s="3" t="s">
        <v>297</v>
      </c>
      <c r="J62" s="3">
        <v>7</v>
      </c>
      <c r="K62" s="6"/>
    </row>
    <row r="63" spans="1:11" ht="12.75" x14ac:dyDescent="0.2">
      <c r="A63" s="4" t="s">
        <v>298</v>
      </c>
      <c r="B63" s="4" t="s">
        <v>18</v>
      </c>
      <c r="C63" s="4" t="s">
        <v>299</v>
      </c>
      <c r="D63" s="4" t="s">
        <v>701</v>
      </c>
      <c r="E63" s="72" t="str">
        <f>HYPERLINK("https://www.google.com/maps?q=-33.8111111,-60.6011111", "Ver mapa")</f>
        <v>Ver mapa</v>
      </c>
      <c r="F63" s="4" t="s">
        <v>12</v>
      </c>
      <c r="G63" s="5" t="s">
        <v>13</v>
      </c>
      <c r="H63" s="3" t="s">
        <v>300</v>
      </c>
      <c r="I63" s="8" t="s">
        <v>301</v>
      </c>
      <c r="J63" s="3">
        <v>6</v>
      </c>
      <c r="K63" s="6"/>
    </row>
    <row r="64" spans="1:11" ht="12.75" x14ac:dyDescent="0.2">
      <c r="A64" s="4" t="s">
        <v>302</v>
      </c>
      <c r="B64" s="24" t="s">
        <v>18</v>
      </c>
      <c r="C64" s="24" t="s">
        <v>303</v>
      </c>
      <c r="D64" s="4" t="s">
        <v>702</v>
      </c>
      <c r="E64" s="72" t="str">
        <f>HYPERLINK("https://www.google.com/maps?q=-33.8967938,-60.5742483", "Ver mapa")</f>
        <v>Ver mapa</v>
      </c>
      <c r="F64" s="4" t="s">
        <v>304</v>
      </c>
      <c r="G64" s="5" t="s">
        <v>13</v>
      </c>
      <c r="H64" s="3" t="s">
        <v>305</v>
      </c>
      <c r="I64" s="8" t="s">
        <v>306</v>
      </c>
      <c r="J64" s="3">
        <v>7</v>
      </c>
      <c r="K64" s="6"/>
    </row>
    <row r="65" spans="1:11" ht="12.75" x14ac:dyDescent="0.2">
      <c r="A65" s="4" t="s">
        <v>307</v>
      </c>
      <c r="B65" s="24" t="s">
        <v>18</v>
      </c>
      <c r="C65" s="24" t="s">
        <v>308</v>
      </c>
      <c r="D65" s="4" t="s">
        <v>703</v>
      </c>
      <c r="E65" s="72" t="str">
        <f>HYPERLINK("https://www.google.com/maps?q=-33.8952367,-60.5735038", "Ver mapa")</f>
        <v>Ver mapa</v>
      </c>
      <c r="F65" s="4" t="s">
        <v>309</v>
      </c>
      <c r="G65" s="5" t="s">
        <v>13</v>
      </c>
      <c r="H65" s="3" t="s">
        <v>310</v>
      </c>
      <c r="I65" s="8" t="s">
        <v>311</v>
      </c>
      <c r="J65" s="3">
        <v>7</v>
      </c>
      <c r="K65" s="6"/>
    </row>
    <row r="66" spans="1:11" ht="12.75" x14ac:dyDescent="0.2">
      <c r="A66" s="4" t="s">
        <v>312</v>
      </c>
      <c r="B66" s="24" t="s">
        <v>18</v>
      </c>
      <c r="C66" s="24" t="s">
        <v>313</v>
      </c>
      <c r="D66" s="4" t="s">
        <v>704</v>
      </c>
      <c r="E66" s="72" t="str">
        <f>HYPERLINK("https://www.google.com/maps?q=-33.8952514,-60.5733315", "Ver mapa")</f>
        <v>Ver mapa</v>
      </c>
      <c r="F66" s="4" t="s">
        <v>314</v>
      </c>
      <c r="G66" s="5" t="s">
        <v>13</v>
      </c>
      <c r="H66" s="3" t="s">
        <v>315</v>
      </c>
      <c r="I66" s="8" t="s">
        <v>316</v>
      </c>
      <c r="J66" s="3">
        <v>7</v>
      </c>
      <c r="K66" s="6"/>
    </row>
    <row r="67" spans="1:11" ht="12.75" x14ac:dyDescent="0.2">
      <c r="A67" s="3" t="s">
        <v>317</v>
      </c>
      <c r="B67" s="3" t="s">
        <v>18</v>
      </c>
      <c r="C67" s="3" t="s">
        <v>318</v>
      </c>
      <c r="D67" s="3" t="s">
        <v>705</v>
      </c>
      <c r="E67" s="72" t="str">
        <f>HYPERLINK("https://www.google.com/maps?q=-33.8952779,-60.5726831", "Ver mapa")</f>
        <v>Ver mapa</v>
      </c>
      <c r="F67" s="3" t="s">
        <v>319</v>
      </c>
      <c r="G67" s="5" t="s">
        <v>13</v>
      </c>
      <c r="H67" s="3" t="s">
        <v>320</v>
      </c>
      <c r="I67" s="8" t="s">
        <v>321</v>
      </c>
      <c r="J67" s="3">
        <v>7</v>
      </c>
      <c r="K67" s="6"/>
    </row>
    <row r="68" spans="1:11" ht="12.75" x14ac:dyDescent="0.2">
      <c r="A68" s="3" t="s">
        <v>322</v>
      </c>
      <c r="B68" s="3" t="s">
        <v>18</v>
      </c>
      <c r="C68" s="3" t="s">
        <v>323</v>
      </c>
      <c r="D68" s="3" t="s">
        <v>706</v>
      </c>
      <c r="E68" s="72" t="str">
        <f>HYPERLINK("https://www.google.com/maps?q=-33.8952669,-60.5735881", "Ver mapa")</f>
        <v>Ver mapa</v>
      </c>
      <c r="F68" s="3" t="s">
        <v>324</v>
      </c>
      <c r="G68" s="5" t="s">
        <v>13</v>
      </c>
      <c r="H68" s="3" t="s">
        <v>325</v>
      </c>
      <c r="I68" s="8" t="s">
        <v>326</v>
      </c>
      <c r="J68" s="3">
        <v>7</v>
      </c>
      <c r="K68" s="6"/>
    </row>
    <row r="69" spans="1:11" ht="12.75" x14ac:dyDescent="0.2">
      <c r="A69" s="4" t="s">
        <v>327</v>
      </c>
      <c r="B69" s="24" t="s">
        <v>18</v>
      </c>
      <c r="C69" s="24" t="s">
        <v>328</v>
      </c>
      <c r="D69" s="4" t="s">
        <v>704</v>
      </c>
      <c r="E69" s="72" t="str">
        <f>HYPERLINK("https://www.google.com/maps?q=-33.8952514,-60.5733315", "Ver mapa")</f>
        <v>Ver mapa</v>
      </c>
      <c r="F69" s="4" t="s">
        <v>329</v>
      </c>
      <c r="G69" s="5" t="s">
        <v>13</v>
      </c>
      <c r="H69" s="3" t="s">
        <v>12</v>
      </c>
      <c r="I69" s="8" t="s">
        <v>12</v>
      </c>
      <c r="J69" s="3">
        <v>7</v>
      </c>
      <c r="K69" s="6"/>
    </row>
    <row r="70" spans="1:11" ht="12.75" x14ac:dyDescent="0.2">
      <c r="A70" s="33" t="s">
        <v>330</v>
      </c>
      <c r="B70" s="34" t="s">
        <v>18</v>
      </c>
      <c r="C70" s="34" t="s">
        <v>331</v>
      </c>
      <c r="D70" s="33" t="s">
        <v>707</v>
      </c>
      <c r="E70" s="73" t="str">
        <f>HYPERLINK("https://www.google.com/maps?q=-33.8960528,-60.5743047", "Ver mapa")</f>
        <v>Ver mapa</v>
      </c>
      <c r="F70" s="33" t="s">
        <v>332</v>
      </c>
      <c r="G70" s="35" t="s">
        <v>13</v>
      </c>
      <c r="H70" s="9" t="s">
        <v>333</v>
      </c>
      <c r="I70" s="36" t="s">
        <v>334</v>
      </c>
      <c r="J70" s="10">
        <v>7</v>
      </c>
      <c r="K70" s="13"/>
    </row>
    <row r="71" spans="1:11" ht="12.75" x14ac:dyDescent="0.2">
      <c r="A71" s="37" t="s">
        <v>335</v>
      </c>
      <c r="B71" s="37" t="s">
        <v>18</v>
      </c>
      <c r="C71" s="37" t="s">
        <v>336</v>
      </c>
      <c r="D71" s="37" t="s">
        <v>708</v>
      </c>
      <c r="E71" s="80" t="str">
        <f>HYPERLINK("https://www.google.com/maps?q=-33.901339,-60.5749134", "Ver mapa")</f>
        <v>Ver mapa</v>
      </c>
      <c r="F71" s="37" t="s">
        <v>337</v>
      </c>
      <c r="G71" s="38" t="s">
        <v>13</v>
      </c>
      <c r="H71" s="37" t="s">
        <v>338</v>
      </c>
      <c r="I71" s="39" t="s">
        <v>339</v>
      </c>
      <c r="J71" s="19">
        <v>7</v>
      </c>
      <c r="K71" s="22"/>
    </row>
    <row r="72" spans="1:11" ht="12.75" x14ac:dyDescent="0.2">
      <c r="A72" s="3" t="s">
        <v>340</v>
      </c>
      <c r="B72" s="3" t="s">
        <v>18</v>
      </c>
      <c r="C72" s="3" t="s">
        <v>341</v>
      </c>
      <c r="D72" s="3" t="s">
        <v>709</v>
      </c>
      <c r="E72" s="72" t="str">
        <f>HYPERLINK("https://www.google.com/maps?q=-33.8943613,-60.5819948", "Ver mapa")</f>
        <v>Ver mapa</v>
      </c>
      <c r="F72" s="3" t="s">
        <v>342</v>
      </c>
      <c r="G72" s="5" t="s">
        <v>13</v>
      </c>
      <c r="H72" s="3" t="s">
        <v>343</v>
      </c>
      <c r="I72" s="8" t="s">
        <v>344</v>
      </c>
      <c r="J72" s="3">
        <v>7</v>
      </c>
      <c r="K72" s="6"/>
    </row>
    <row r="73" spans="1:11" ht="12.75" x14ac:dyDescent="0.2">
      <c r="A73" s="3" t="s">
        <v>345</v>
      </c>
      <c r="B73" s="3" t="s">
        <v>18</v>
      </c>
      <c r="C73" s="3" t="s">
        <v>346</v>
      </c>
      <c r="D73" s="3" t="s">
        <v>710</v>
      </c>
      <c r="E73" s="72" t="str">
        <f>HYPERLINK("https://www.google.com/maps?q=-33.8943644,-60.5819963", "Ver mapa")</f>
        <v>Ver mapa</v>
      </c>
      <c r="F73" s="3" t="s">
        <v>347</v>
      </c>
      <c r="G73" s="5" t="s">
        <v>13</v>
      </c>
      <c r="H73" s="3" t="s">
        <v>348</v>
      </c>
      <c r="I73" s="8" t="s">
        <v>349</v>
      </c>
      <c r="J73" s="3">
        <v>7</v>
      </c>
      <c r="K73" s="6"/>
    </row>
    <row r="74" spans="1:11" ht="12.75" x14ac:dyDescent="0.2">
      <c r="A74" s="10" t="s">
        <v>350</v>
      </c>
      <c r="B74" s="10" t="s">
        <v>18</v>
      </c>
      <c r="C74" s="10" t="s">
        <v>351</v>
      </c>
      <c r="D74" s="10" t="s">
        <v>711</v>
      </c>
      <c r="E74" s="74" t="str">
        <f>HYPERLINK("https://www.google.com/maps?q=-33.8175098,-60.4852931", "Ver mapa")</f>
        <v>Ver mapa</v>
      </c>
      <c r="F74" s="10" t="s">
        <v>352</v>
      </c>
      <c r="G74" s="12" t="s">
        <v>13</v>
      </c>
      <c r="H74" s="10" t="s">
        <v>353</v>
      </c>
      <c r="I74" s="40" t="s">
        <v>354</v>
      </c>
      <c r="J74" s="10">
        <v>5</v>
      </c>
      <c r="K74" s="13"/>
    </row>
    <row r="75" spans="1:11" ht="12.75" x14ac:dyDescent="0.2">
      <c r="A75" s="4" t="s">
        <v>355</v>
      </c>
      <c r="B75" s="4" t="s">
        <v>18</v>
      </c>
      <c r="C75" s="4" t="s">
        <v>356</v>
      </c>
      <c r="D75" s="4" t="s">
        <v>712</v>
      </c>
      <c r="E75" s="72" t="str">
        <f>HYPERLINK("https://www.google.com/maps?q=-34.0369,-60.66385", "Ver mapa")</f>
        <v>Ver mapa</v>
      </c>
      <c r="F75" s="4" t="s">
        <v>12</v>
      </c>
      <c r="G75" s="5" t="s">
        <v>13</v>
      </c>
      <c r="H75" s="3" t="s">
        <v>357</v>
      </c>
      <c r="I75" s="8" t="s">
        <v>358</v>
      </c>
      <c r="J75" s="3">
        <v>3</v>
      </c>
      <c r="K75" s="6"/>
    </row>
    <row r="76" spans="1:11" ht="12.75" x14ac:dyDescent="0.2">
      <c r="A76" s="4" t="s">
        <v>359</v>
      </c>
      <c r="B76" s="4" t="s">
        <v>18</v>
      </c>
      <c r="C76" s="4" t="s">
        <v>360</v>
      </c>
      <c r="D76" s="4" t="s">
        <v>713</v>
      </c>
      <c r="E76" s="72" t="str">
        <f>HYPERLINK("https://www.google.com/maps?q=-34.02918333,-60.65548333", "Ver mapa")</f>
        <v>Ver mapa</v>
      </c>
      <c r="F76" s="4" t="s">
        <v>12</v>
      </c>
      <c r="G76" s="5" t="s">
        <v>13</v>
      </c>
      <c r="H76" s="3" t="s">
        <v>361</v>
      </c>
      <c r="I76" s="8" t="s">
        <v>362</v>
      </c>
      <c r="J76" s="3">
        <v>2</v>
      </c>
      <c r="K76" s="6"/>
    </row>
    <row r="77" spans="1:11" ht="12.75" x14ac:dyDescent="0.2">
      <c r="A77" s="4" t="s">
        <v>363</v>
      </c>
      <c r="B77" s="4" t="s">
        <v>18</v>
      </c>
      <c r="C77" s="4" t="s">
        <v>364</v>
      </c>
      <c r="D77" s="4" t="s">
        <v>714</v>
      </c>
      <c r="E77" s="72" t="str">
        <f>HYPERLINK("https://www.google.com/maps?q=-34.0403166,-60.63735", "Ver mapa")</f>
        <v>Ver mapa</v>
      </c>
      <c r="F77" s="4" t="s">
        <v>12</v>
      </c>
      <c r="G77" s="5" t="s">
        <v>13</v>
      </c>
      <c r="H77" s="3" t="s">
        <v>365</v>
      </c>
      <c r="I77" s="3" t="s">
        <v>366</v>
      </c>
      <c r="J77" s="3">
        <v>2</v>
      </c>
      <c r="K77" s="6"/>
    </row>
    <row r="78" spans="1:11" ht="12.75" x14ac:dyDescent="0.2">
      <c r="A78" s="4" t="s">
        <v>367</v>
      </c>
      <c r="B78" s="4" t="s">
        <v>18</v>
      </c>
      <c r="C78" s="4" t="s">
        <v>368</v>
      </c>
      <c r="D78" s="4" t="s">
        <v>715</v>
      </c>
      <c r="E78" s="72" t="str">
        <f>HYPERLINK("https://www.google.com/maps?q=-33.9206767,-60.5612103", "Ver mapa")</f>
        <v>Ver mapa</v>
      </c>
      <c r="F78" s="4" t="s">
        <v>369</v>
      </c>
      <c r="G78" s="5" t="s">
        <v>13</v>
      </c>
      <c r="H78" s="3" t="s">
        <v>370</v>
      </c>
      <c r="I78" s="3" t="s">
        <v>371</v>
      </c>
      <c r="J78" s="3"/>
      <c r="K78" s="6"/>
    </row>
    <row r="79" spans="1:11" ht="12.75" x14ac:dyDescent="0.2">
      <c r="A79" s="4" t="s">
        <v>372</v>
      </c>
      <c r="B79" s="24" t="s">
        <v>18</v>
      </c>
      <c r="C79" s="4" t="s">
        <v>95</v>
      </c>
      <c r="D79" s="4" t="s">
        <v>716</v>
      </c>
      <c r="E79" s="72" t="str">
        <f>HYPERLINK("https://www.google.com/maps?q=-33.71502,-60.9226", "Ver mapa")</f>
        <v>Ver mapa</v>
      </c>
      <c r="F79" s="4" t="s">
        <v>373</v>
      </c>
      <c r="G79" s="5" t="s">
        <v>13</v>
      </c>
      <c r="H79" s="3" t="s">
        <v>374</v>
      </c>
      <c r="I79" s="8" t="s">
        <v>375</v>
      </c>
      <c r="J79" s="3">
        <v>1</v>
      </c>
      <c r="K79" s="6"/>
    </row>
    <row r="80" spans="1:11" ht="12.75" x14ac:dyDescent="0.2">
      <c r="A80" s="4" t="s">
        <v>376</v>
      </c>
      <c r="B80" s="24" t="s">
        <v>18</v>
      </c>
      <c r="C80" s="24" t="s">
        <v>377</v>
      </c>
      <c r="D80" s="4" t="s">
        <v>717</v>
      </c>
      <c r="E80" s="72" t="str">
        <f>HYPERLINK("https://www.google.com/maps?q=-34.0491333,-60.64105", "Ver mapa")</f>
        <v>Ver mapa</v>
      </c>
      <c r="F80" s="4" t="s">
        <v>12</v>
      </c>
      <c r="G80" s="5" t="s">
        <v>13</v>
      </c>
      <c r="H80" s="3" t="s">
        <v>378</v>
      </c>
      <c r="I80" s="8" t="s">
        <v>379</v>
      </c>
      <c r="J80" s="3">
        <v>2</v>
      </c>
      <c r="K80" s="6"/>
    </row>
    <row r="81" spans="1:11" ht="12.75" x14ac:dyDescent="0.2">
      <c r="A81" s="4" t="s">
        <v>380</v>
      </c>
      <c r="B81" s="24" t="s">
        <v>18</v>
      </c>
      <c r="C81" s="24" t="s">
        <v>381</v>
      </c>
      <c r="D81" s="4" t="s">
        <v>718</v>
      </c>
      <c r="E81" s="72" t="str">
        <f>HYPERLINK("https://www.google.com/maps?q=-33.9233,-60.5677", "Ver mapa")</f>
        <v>Ver mapa</v>
      </c>
      <c r="F81" s="4" t="s">
        <v>382</v>
      </c>
      <c r="G81" s="5" t="s">
        <v>13</v>
      </c>
      <c r="H81" s="3" t="s">
        <v>383</v>
      </c>
      <c r="I81" s="8" t="s">
        <v>384</v>
      </c>
      <c r="J81" s="3">
        <v>4</v>
      </c>
      <c r="K81" s="6"/>
    </row>
    <row r="82" spans="1:11" ht="12.75" x14ac:dyDescent="0.2">
      <c r="A82" s="4" t="s">
        <v>385</v>
      </c>
      <c r="B82" s="24" t="s">
        <v>18</v>
      </c>
      <c r="C82" s="24" t="s">
        <v>386</v>
      </c>
      <c r="D82" s="4" t="s">
        <v>719</v>
      </c>
      <c r="E82" s="72" t="str">
        <f>HYPERLINK("https://www.google.com/maps?q=-33.828874,-60.700991", "Ver mapa")</f>
        <v>Ver mapa</v>
      </c>
      <c r="F82" s="4" t="s">
        <v>387</v>
      </c>
      <c r="G82" s="5" t="s">
        <v>13</v>
      </c>
      <c r="H82" s="3" t="s">
        <v>388</v>
      </c>
      <c r="I82" s="3" t="s">
        <v>389</v>
      </c>
      <c r="J82" s="3">
        <v>1</v>
      </c>
      <c r="K82" s="6"/>
    </row>
    <row r="83" spans="1:11" ht="12.75" x14ac:dyDescent="0.2">
      <c r="A83" s="3" t="s">
        <v>390</v>
      </c>
      <c r="B83" s="3" t="s">
        <v>18</v>
      </c>
      <c r="C83" s="3" t="s">
        <v>391</v>
      </c>
      <c r="D83" s="3" t="s">
        <v>720</v>
      </c>
      <c r="E83" s="72" t="str">
        <f>HYPERLINK("https://www.google.com/maps?q=-33.926486,-60.565074", "Ver mapa")</f>
        <v>Ver mapa</v>
      </c>
      <c r="F83" s="3" t="s">
        <v>392</v>
      </c>
      <c r="G83" s="5" t="s">
        <v>13</v>
      </c>
      <c r="H83" s="3" t="s">
        <v>393</v>
      </c>
      <c r="I83" s="8" t="s">
        <v>394</v>
      </c>
      <c r="J83" s="3">
        <v>4</v>
      </c>
      <c r="K83" s="6"/>
    </row>
    <row r="84" spans="1:11" ht="12.75" x14ac:dyDescent="0.2">
      <c r="A84" s="4" t="s">
        <v>395</v>
      </c>
      <c r="B84" s="4" t="s">
        <v>18</v>
      </c>
      <c r="C84" s="4" t="s">
        <v>396</v>
      </c>
      <c r="D84" s="4" t="s">
        <v>721</v>
      </c>
      <c r="E84" s="72" t="str">
        <f>HYPERLINK("https://www.google.com/maps?q=-33.851508,-60.682583", "Ver mapa")</f>
        <v>Ver mapa</v>
      </c>
      <c r="F84" s="4" t="s">
        <v>397</v>
      </c>
      <c r="G84" s="5" t="s">
        <v>13</v>
      </c>
      <c r="H84" s="3" t="s">
        <v>398</v>
      </c>
      <c r="I84" s="3" t="s">
        <v>399</v>
      </c>
      <c r="J84" s="3">
        <v>1</v>
      </c>
      <c r="K84" s="6"/>
    </row>
    <row r="85" spans="1:11" ht="12.75" x14ac:dyDescent="0.2">
      <c r="A85" s="4" t="s">
        <v>400</v>
      </c>
      <c r="B85" s="4" t="s">
        <v>18</v>
      </c>
      <c r="C85" s="4" t="s">
        <v>401</v>
      </c>
      <c r="D85" s="4" t="s">
        <v>722</v>
      </c>
      <c r="E85" s="72" t="str">
        <f>HYPERLINK("https://www.google.com/maps?q=-33.9552716,-60.5424876", "Ver mapa")</f>
        <v>Ver mapa</v>
      </c>
      <c r="F85" s="4" t="s">
        <v>402</v>
      </c>
      <c r="G85" s="5" t="s">
        <v>13</v>
      </c>
      <c r="H85" s="3" t="s">
        <v>403</v>
      </c>
      <c r="I85" s="3" t="s">
        <v>404</v>
      </c>
      <c r="J85" s="3">
        <v>4</v>
      </c>
      <c r="K85" s="6"/>
    </row>
    <row r="86" spans="1:11" ht="12.75" x14ac:dyDescent="0.2">
      <c r="A86" s="3" t="s">
        <v>405</v>
      </c>
      <c r="B86" s="3" t="s">
        <v>18</v>
      </c>
      <c r="C86" s="3" t="s">
        <v>406</v>
      </c>
      <c r="D86" s="3" t="s">
        <v>723</v>
      </c>
      <c r="E86" s="72" t="str">
        <f>HYPERLINK("https://www.google.com/maps?q=-33.8643383,-60.6632308", "Ver mapa")</f>
        <v>Ver mapa</v>
      </c>
      <c r="F86" s="3" t="s">
        <v>407</v>
      </c>
      <c r="G86" s="5" t="s">
        <v>13</v>
      </c>
      <c r="H86" s="3" t="s">
        <v>408</v>
      </c>
      <c r="I86" s="8" t="s">
        <v>409</v>
      </c>
      <c r="J86" s="3">
        <v>1</v>
      </c>
      <c r="K86" s="6"/>
    </row>
    <row r="87" spans="1:11" ht="12.75" x14ac:dyDescent="0.2">
      <c r="A87" s="3" t="s">
        <v>410</v>
      </c>
      <c r="B87" s="3" t="s">
        <v>18</v>
      </c>
      <c r="C87" s="3" t="s">
        <v>411</v>
      </c>
      <c r="D87" s="3" t="s">
        <v>724</v>
      </c>
      <c r="E87" s="72" t="str">
        <f>HYPERLINK("https://www.google.com/maps?q=-33.8943922,-60.5729819", "Ver mapa")</f>
        <v>Ver mapa</v>
      </c>
      <c r="F87" s="3" t="s">
        <v>412</v>
      </c>
      <c r="G87" s="5" t="s">
        <v>13</v>
      </c>
      <c r="H87" s="3" t="s">
        <v>413</v>
      </c>
      <c r="I87" s="3" t="s">
        <v>414</v>
      </c>
      <c r="J87" s="3">
        <v>7</v>
      </c>
      <c r="K87" s="6"/>
    </row>
    <row r="88" spans="1:11" ht="12.75" x14ac:dyDescent="0.2">
      <c r="A88" s="3" t="s">
        <v>415</v>
      </c>
      <c r="B88" s="3" t="s">
        <v>18</v>
      </c>
      <c r="C88" s="3" t="s">
        <v>416</v>
      </c>
      <c r="D88" s="3" t="s">
        <v>725</v>
      </c>
      <c r="E88" s="72" t="str">
        <f>HYPERLINK("https://www.google.com/maps?q=-33.772053,-60.814285", "Ver mapa")</f>
        <v>Ver mapa</v>
      </c>
      <c r="F88" s="3" t="s">
        <v>417</v>
      </c>
      <c r="G88" s="5" t="s">
        <v>13</v>
      </c>
      <c r="H88" s="3" t="s">
        <v>418</v>
      </c>
      <c r="I88" s="8" t="s">
        <v>419</v>
      </c>
      <c r="J88" s="3">
        <v>1</v>
      </c>
      <c r="K88" s="6"/>
    </row>
    <row r="89" spans="1:11" ht="12.75" x14ac:dyDescent="0.2">
      <c r="A89" s="4" t="s">
        <v>420</v>
      </c>
      <c r="B89" s="24" t="s">
        <v>18</v>
      </c>
      <c r="C89" s="24" t="s">
        <v>421</v>
      </c>
      <c r="D89" s="4" t="s">
        <v>726</v>
      </c>
      <c r="E89" s="72" t="str">
        <f>HYPERLINK("https://www.google.com/maps?q=-33.8907275,-60.5727925", "Ver mapa")</f>
        <v>Ver mapa</v>
      </c>
      <c r="F89" s="4" t="s">
        <v>56</v>
      </c>
      <c r="G89" s="5" t="s">
        <v>13</v>
      </c>
      <c r="H89" s="3" t="s">
        <v>422</v>
      </c>
      <c r="I89" s="8" t="s">
        <v>423</v>
      </c>
      <c r="J89" s="3">
        <v>7</v>
      </c>
      <c r="K89" s="6"/>
    </row>
    <row r="90" spans="1:11" ht="12.75" x14ac:dyDescent="0.2">
      <c r="A90" s="3" t="s">
        <v>424</v>
      </c>
      <c r="B90" s="3" t="s">
        <v>18</v>
      </c>
      <c r="C90" s="3" t="s">
        <v>230</v>
      </c>
      <c r="D90" s="3" t="s">
        <v>727</v>
      </c>
      <c r="E90" s="72" t="str">
        <f>HYPERLINK("https://www.google.com/maps?q=-33.840386,-60.672487", "Ver mapa")</f>
        <v>Ver mapa</v>
      </c>
      <c r="F90" s="3" t="s">
        <v>425</v>
      </c>
      <c r="G90" s="5" t="s">
        <v>13</v>
      </c>
      <c r="H90" s="3" t="s">
        <v>426</v>
      </c>
      <c r="I90" s="8" t="s">
        <v>427</v>
      </c>
      <c r="J90" s="3">
        <v>1</v>
      </c>
      <c r="K90" s="6"/>
    </row>
    <row r="91" spans="1:11" ht="12.75" x14ac:dyDescent="0.2">
      <c r="A91" s="3" t="s">
        <v>428</v>
      </c>
      <c r="B91" s="3" t="s">
        <v>18</v>
      </c>
      <c r="C91" s="3" t="s">
        <v>429</v>
      </c>
      <c r="D91" s="3" t="s">
        <v>728</v>
      </c>
      <c r="E91" s="72" t="str">
        <f>HYPERLINK("https://www.google.com/maps?q=-33.82907,-60.782499", "Ver mapa")</f>
        <v>Ver mapa</v>
      </c>
      <c r="F91" s="3" t="s">
        <v>430</v>
      </c>
      <c r="G91" s="5" t="s">
        <v>13</v>
      </c>
      <c r="H91" s="3" t="s">
        <v>431</v>
      </c>
      <c r="I91" s="3" t="s">
        <v>432</v>
      </c>
      <c r="J91" s="3"/>
      <c r="K91" s="6"/>
    </row>
    <row r="92" spans="1:11" ht="12.75" x14ac:dyDescent="0.2">
      <c r="A92" s="3" t="s">
        <v>433</v>
      </c>
      <c r="B92" s="3" t="s">
        <v>18</v>
      </c>
      <c r="C92" s="3" t="s">
        <v>434</v>
      </c>
      <c r="D92" s="3" t="s">
        <v>729</v>
      </c>
      <c r="E92" s="72" t="str">
        <f>HYPERLINK("https://www.google.com/maps?q=-33.784074,-60.858366", "Ver mapa")</f>
        <v>Ver mapa</v>
      </c>
      <c r="F92" s="3" t="s">
        <v>435</v>
      </c>
      <c r="G92" s="5" t="s">
        <v>13</v>
      </c>
      <c r="H92" s="3" t="s">
        <v>436</v>
      </c>
      <c r="I92" s="3" t="s">
        <v>437</v>
      </c>
      <c r="J92" s="3">
        <v>1</v>
      </c>
      <c r="K92" s="6"/>
    </row>
    <row r="93" spans="1:11" ht="12.75" x14ac:dyDescent="0.2">
      <c r="A93" s="3" t="s">
        <v>438</v>
      </c>
      <c r="B93" s="3" t="s">
        <v>18</v>
      </c>
      <c r="C93" s="3" t="s">
        <v>439</v>
      </c>
      <c r="D93" s="3" t="s">
        <v>730</v>
      </c>
      <c r="E93" s="72" t="str">
        <f>HYPERLINK("https://www.google.com/maps?q=-33.5812312,-60.5812312", "Ver mapa")</f>
        <v>Ver mapa</v>
      </c>
      <c r="F93" s="3" t="s">
        <v>440</v>
      </c>
      <c r="G93" s="5" t="s">
        <v>13</v>
      </c>
      <c r="H93" s="3" t="s">
        <v>441</v>
      </c>
      <c r="I93" s="8" t="s">
        <v>442</v>
      </c>
      <c r="J93" s="3">
        <v>7</v>
      </c>
      <c r="K93" s="6"/>
    </row>
    <row r="94" spans="1:11" ht="12.75" x14ac:dyDescent="0.2">
      <c r="A94" s="4" t="s">
        <v>443</v>
      </c>
      <c r="B94" s="4" t="s">
        <v>18</v>
      </c>
      <c r="C94" s="4" t="s">
        <v>444</v>
      </c>
      <c r="D94" s="4" t="s">
        <v>731</v>
      </c>
      <c r="E94" s="72" t="str">
        <f>HYPERLINK("https://www.google.com/maps?q=-33.875111,-60.601302", "Ver mapa")</f>
        <v>Ver mapa</v>
      </c>
      <c r="F94" s="4" t="s">
        <v>12</v>
      </c>
      <c r="G94" s="5" t="s">
        <v>13</v>
      </c>
      <c r="H94" s="3" t="s">
        <v>445</v>
      </c>
      <c r="I94" s="3" t="s">
        <v>446</v>
      </c>
      <c r="J94" s="3">
        <v>1</v>
      </c>
      <c r="K94" s="6" t="s">
        <v>447</v>
      </c>
    </row>
    <row r="95" spans="1:11" ht="12.75" x14ac:dyDescent="0.2">
      <c r="A95" s="3" t="s">
        <v>448</v>
      </c>
      <c r="B95" s="3" t="s">
        <v>18</v>
      </c>
      <c r="C95" s="3" t="s">
        <v>449</v>
      </c>
      <c r="D95" s="3" t="s">
        <v>732</v>
      </c>
      <c r="E95" s="72" t="str">
        <f>HYPERLINK("https://www.google.com/maps?q=-33.86471,-60.674613", "Ver mapa")</f>
        <v>Ver mapa</v>
      </c>
      <c r="F95" s="3" t="s">
        <v>450</v>
      </c>
      <c r="G95" s="5" t="s">
        <v>13</v>
      </c>
      <c r="H95" s="3" t="s">
        <v>451</v>
      </c>
      <c r="I95" s="8" t="s">
        <v>452</v>
      </c>
      <c r="J95" s="3">
        <v>1</v>
      </c>
      <c r="K95" s="6"/>
    </row>
    <row r="96" spans="1:11" ht="12.75" x14ac:dyDescent="0.2">
      <c r="A96" s="4" t="s">
        <v>453</v>
      </c>
      <c r="B96" s="24" t="s">
        <v>18</v>
      </c>
      <c r="C96" s="24" t="s">
        <v>454</v>
      </c>
      <c r="D96" s="4" t="s">
        <v>733</v>
      </c>
      <c r="E96" s="72" t="str">
        <f>HYPERLINK("https://www.google.com/maps?q=-33.734967,-60.924006", "Ver mapa")</f>
        <v>Ver mapa</v>
      </c>
      <c r="F96" s="4" t="s">
        <v>455</v>
      </c>
      <c r="G96" s="5" t="s">
        <v>13</v>
      </c>
      <c r="H96" s="3" t="s">
        <v>12</v>
      </c>
      <c r="I96" s="8" t="s">
        <v>12</v>
      </c>
      <c r="J96" s="3">
        <v>1</v>
      </c>
      <c r="K96" s="6"/>
    </row>
    <row r="97" spans="1:11" ht="12.75" x14ac:dyDescent="0.2">
      <c r="A97" s="4" t="s">
        <v>456</v>
      </c>
      <c r="B97" s="24" t="s">
        <v>18</v>
      </c>
      <c r="C97" s="24" t="s">
        <v>457</v>
      </c>
      <c r="D97" s="4" t="s">
        <v>734</v>
      </c>
      <c r="E97" s="72" t="str">
        <f>HYPERLINK("https://www.google.com/maps?q=-33.879941,-60.675105", "Ver mapa")</f>
        <v>Ver mapa</v>
      </c>
      <c r="F97" s="4" t="s">
        <v>458</v>
      </c>
      <c r="G97" s="7" t="s">
        <v>20</v>
      </c>
      <c r="H97" s="3" t="s">
        <v>459</v>
      </c>
      <c r="I97" s="3" t="s">
        <v>460</v>
      </c>
      <c r="J97" s="3">
        <v>1</v>
      </c>
      <c r="K97" s="6"/>
    </row>
    <row r="98" spans="1:11" ht="12.75" x14ac:dyDescent="0.2">
      <c r="A98" s="4" t="s">
        <v>461</v>
      </c>
      <c r="B98" s="24" t="s">
        <v>18</v>
      </c>
      <c r="C98" s="24" t="s">
        <v>462</v>
      </c>
      <c r="D98" s="4" t="s">
        <v>735</v>
      </c>
      <c r="E98" s="72" t="str">
        <f>HYPERLINK("https://www.google.com/maps?q=-33.924603,-60.562858", "Ver mapa")</f>
        <v>Ver mapa</v>
      </c>
      <c r="F98" s="4" t="s">
        <v>463</v>
      </c>
      <c r="G98" s="5" t="s">
        <v>13</v>
      </c>
      <c r="H98" s="4" t="s">
        <v>464</v>
      </c>
      <c r="I98" s="3" t="s">
        <v>465</v>
      </c>
      <c r="J98" s="3">
        <v>4</v>
      </c>
      <c r="K98" s="6"/>
    </row>
    <row r="99" spans="1:11" ht="12.75" x14ac:dyDescent="0.2">
      <c r="A99" s="4" t="s">
        <v>466</v>
      </c>
      <c r="B99" s="24" t="s">
        <v>18</v>
      </c>
      <c r="C99" s="24" t="s">
        <v>467</v>
      </c>
      <c r="D99" s="4" t="s">
        <v>736</v>
      </c>
      <c r="E99" s="72" t="str">
        <f>HYPERLINK("https://www.google.com/maps?q=-33.769628,-60.853456", "Ver mapa")</f>
        <v>Ver mapa</v>
      </c>
      <c r="F99" s="4" t="s">
        <v>468</v>
      </c>
      <c r="G99" s="5" t="s">
        <v>13</v>
      </c>
      <c r="H99" s="4" t="s">
        <v>469</v>
      </c>
      <c r="I99" s="3" t="s">
        <v>470</v>
      </c>
      <c r="J99" s="3"/>
      <c r="K99" s="6"/>
    </row>
    <row r="100" spans="1:11" ht="12.75" x14ac:dyDescent="0.2">
      <c r="A100" s="4" t="s">
        <v>471</v>
      </c>
      <c r="B100" s="4" t="s">
        <v>18</v>
      </c>
      <c r="C100" s="4" t="s">
        <v>472</v>
      </c>
      <c r="D100" s="4" t="s">
        <v>737</v>
      </c>
      <c r="E100" s="72" t="str">
        <f>HYPERLINK("https://www.google.com/maps?q=-33.83239,-60.745203", "Ver mapa")</f>
        <v>Ver mapa</v>
      </c>
      <c r="F100" s="4" t="s">
        <v>473</v>
      </c>
      <c r="G100" s="5" t="s">
        <v>13</v>
      </c>
      <c r="H100" s="3" t="s">
        <v>474</v>
      </c>
      <c r="I100" s="3" t="s">
        <v>475</v>
      </c>
      <c r="J100" s="3">
        <v>1</v>
      </c>
      <c r="K100" s="6"/>
    </row>
    <row r="101" spans="1:11" ht="12.75" x14ac:dyDescent="0.2">
      <c r="A101" s="4" t="s">
        <v>476</v>
      </c>
      <c r="B101" s="4" t="s">
        <v>18</v>
      </c>
      <c r="C101" s="4" t="s">
        <v>477</v>
      </c>
      <c r="D101" s="4" t="s">
        <v>738</v>
      </c>
      <c r="E101" s="72" t="str">
        <f>HYPERLINK("https://www.google.com/maps?q=-34.0492933,-60.6410286", "Ver mapa")</f>
        <v>Ver mapa</v>
      </c>
      <c r="F101" s="4" t="s">
        <v>12</v>
      </c>
      <c r="G101" s="5" t="s">
        <v>13</v>
      </c>
      <c r="H101" s="3" t="s">
        <v>198</v>
      </c>
      <c r="I101" s="8" t="s">
        <v>198</v>
      </c>
      <c r="J101" s="3">
        <v>2</v>
      </c>
      <c r="K101" s="6"/>
    </row>
    <row r="102" spans="1:11" ht="12.75" x14ac:dyDescent="0.2">
      <c r="A102" s="4" t="s">
        <v>478</v>
      </c>
      <c r="B102" s="4" t="s">
        <v>18</v>
      </c>
      <c r="C102" s="4" t="s">
        <v>479</v>
      </c>
      <c r="D102" s="4" t="s">
        <v>739</v>
      </c>
      <c r="E102" s="72" t="str">
        <f>HYPERLINK("https://www.google.com/maps?q=-33.9592,-60.5839", "Ver mapa")</f>
        <v>Ver mapa</v>
      </c>
      <c r="F102" s="4" t="s">
        <v>12</v>
      </c>
      <c r="G102" s="5" t="s">
        <v>13</v>
      </c>
      <c r="H102" s="3" t="s">
        <v>480</v>
      </c>
      <c r="I102" s="3" t="s">
        <v>481</v>
      </c>
      <c r="J102" s="3"/>
      <c r="K102" s="6"/>
    </row>
    <row r="103" spans="1:11" ht="12.75" x14ac:dyDescent="0.2">
      <c r="A103" s="4" t="s">
        <v>482</v>
      </c>
      <c r="B103" s="4" t="s">
        <v>18</v>
      </c>
      <c r="C103" s="4" t="s">
        <v>483</v>
      </c>
      <c r="D103" s="4" t="s">
        <v>740</v>
      </c>
      <c r="E103" s="72" t="str">
        <f>HYPERLINK("https://www.google.com/maps?q=-33.8185172,-60.5186578", "Ver mapa")</f>
        <v>Ver mapa</v>
      </c>
      <c r="F103" s="4" t="s">
        <v>484</v>
      </c>
      <c r="G103" s="5" t="s">
        <v>13</v>
      </c>
      <c r="H103" s="3" t="s">
        <v>485</v>
      </c>
      <c r="I103" s="3" t="s">
        <v>486</v>
      </c>
      <c r="J103" s="3">
        <v>5</v>
      </c>
      <c r="K103" s="6"/>
    </row>
    <row r="104" spans="1:11" ht="12.75" x14ac:dyDescent="0.2">
      <c r="A104" s="4" t="s">
        <v>487</v>
      </c>
      <c r="B104" s="24" t="s">
        <v>18</v>
      </c>
      <c r="C104" s="24" t="s">
        <v>488</v>
      </c>
      <c r="D104" s="4" t="s">
        <v>741</v>
      </c>
      <c r="E104" s="72" t="str">
        <f>HYPERLINK("https://www.google.com/maps?q=-33819948,-60.523287", "Ver mapa")</f>
        <v>Ver mapa</v>
      </c>
      <c r="F104" s="4" t="s">
        <v>489</v>
      </c>
      <c r="G104" s="5" t="s">
        <v>13</v>
      </c>
      <c r="H104" s="3" t="s">
        <v>490</v>
      </c>
      <c r="I104" s="3" t="s">
        <v>491</v>
      </c>
      <c r="J104" s="3">
        <v>5</v>
      </c>
      <c r="K104" s="6"/>
    </row>
    <row r="105" spans="1:11" ht="12.75" x14ac:dyDescent="0.2">
      <c r="A105" s="4" t="s">
        <v>492</v>
      </c>
      <c r="B105" s="24" t="s">
        <v>18</v>
      </c>
      <c r="C105" s="24" t="s">
        <v>493</v>
      </c>
      <c r="D105" s="4" t="s">
        <v>742</v>
      </c>
      <c r="E105" s="72" t="str">
        <f>HYPERLINK("https://www.google.com/maps?q=-33.8865969,-60.5514994", "Ver mapa")</f>
        <v>Ver mapa</v>
      </c>
      <c r="F105" s="4" t="s">
        <v>494</v>
      </c>
      <c r="G105" s="5" t="s">
        <v>13</v>
      </c>
      <c r="H105" s="3" t="s">
        <v>495</v>
      </c>
      <c r="I105" s="8" t="s">
        <v>496</v>
      </c>
      <c r="J105" s="3">
        <v>7</v>
      </c>
      <c r="K105" s="6"/>
    </row>
    <row r="106" spans="1:11" ht="12.75" x14ac:dyDescent="0.2">
      <c r="A106" s="4" t="s">
        <v>497</v>
      </c>
      <c r="B106" s="24" t="s">
        <v>18</v>
      </c>
      <c r="C106" s="24" t="s">
        <v>498</v>
      </c>
      <c r="D106" s="24" t="s">
        <v>743</v>
      </c>
      <c r="E106" s="79" t="str">
        <f>HYPERLINK("https://www.google.com/maps?q=-33.719662,-60.92781", "Ver mapa")</f>
        <v>Ver mapa</v>
      </c>
      <c r="F106" s="4" t="s">
        <v>499</v>
      </c>
      <c r="G106" s="5" t="s">
        <v>13</v>
      </c>
      <c r="H106" s="3" t="s">
        <v>500</v>
      </c>
      <c r="I106" s="8" t="s">
        <v>501</v>
      </c>
      <c r="J106" s="3">
        <v>1</v>
      </c>
      <c r="K106" s="6"/>
    </row>
    <row r="107" spans="1:11" ht="12.75" x14ac:dyDescent="0.2">
      <c r="A107" s="4" t="s">
        <v>502</v>
      </c>
      <c r="B107" s="4" t="s">
        <v>18</v>
      </c>
      <c r="C107" s="24" t="s">
        <v>503</v>
      </c>
      <c r="D107" s="4" t="s">
        <v>744</v>
      </c>
      <c r="E107" s="72" t="str">
        <f>HYPERLINK("https://www.google.com/maps?q=-33.9675,-60.653266", "Ver mapa")</f>
        <v>Ver mapa</v>
      </c>
      <c r="F107" s="4" t="s">
        <v>12</v>
      </c>
      <c r="G107" s="5" t="s">
        <v>13</v>
      </c>
      <c r="H107" s="3" t="s">
        <v>504</v>
      </c>
      <c r="I107" s="3" t="s">
        <v>505</v>
      </c>
      <c r="J107" s="3">
        <v>3</v>
      </c>
      <c r="K107" s="6"/>
    </row>
    <row r="108" spans="1:11" ht="12.75" x14ac:dyDescent="0.2">
      <c r="A108" s="4" t="s">
        <v>506</v>
      </c>
      <c r="B108" s="4" t="s">
        <v>18</v>
      </c>
      <c r="C108" s="24" t="s">
        <v>507</v>
      </c>
      <c r="D108" s="4" t="s">
        <v>745</v>
      </c>
      <c r="E108" s="72" t="str">
        <f>HYPERLINK("https://www.google.com/maps?q=-33.9060322,-60.5557484", "Ver mapa")</f>
        <v>Ver mapa</v>
      </c>
      <c r="F108" s="4" t="s">
        <v>508</v>
      </c>
      <c r="G108" s="5" t="s">
        <v>13</v>
      </c>
      <c r="H108" s="3" t="s">
        <v>509</v>
      </c>
      <c r="I108" s="3" t="s">
        <v>510</v>
      </c>
      <c r="J108" s="3"/>
      <c r="K108" s="6"/>
    </row>
    <row r="109" spans="1:11" ht="12.75" x14ac:dyDescent="0.2">
      <c r="A109" s="4" t="s">
        <v>511</v>
      </c>
      <c r="B109" s="4" t="s">
        <v>18</v>
      </c>
      <c r="C109" s="24" t="s">
        <v>512</v>
      </c>
      <c r="D109" s="4" t="s">
        <v>746</v>
      </c>
      <c r="E109" s="72" t="str">
        <f>HYPERLINK("https://www.google.com/maps?q=-33.9522666,-60.60798333", "Ver mapa")</f>
        <v>Ver mapa</v>
      </c>
      <c r="F109" s="4" t="s">
        <v>12</v>
      </c>
      <c r="G109" s="5" t="s">
        <v>13</v>
      </c>
      <c r="H109" s="3" t="s">
        <v>513</v>
      </c>
      <c r="I109" s="3" t="s">
        <v>514</v>
      </c>
      <c r="J109" s="3">
        <v>2</v>
      </c>
      <c r="K109" s="6"/>
    </row>
    <row r="110" spans="1:11" ht="12.75" x14ac:dyDescent="0.2">
      <c r="A110" s="4" t="s">
        <v>515</v>
      </c>
      <c r="B110" s="4" t="s">
        <v>18</v>
      </c>
      <c r="C110" s="24" t="s">
        <v>516</v>
      </c>
      <c r="D110" s="4" t="s">
        <v>747</v>
      </c>
      <c r="E110" s="72" t="str">
        <f>HYPERLINK("https://www.google.com/maps?q=-33.9972833,-60.65215", "Ver mapa")</f>
        <v>Ver mapa</v>
      </c>
      <c r="F110" s="4" t="s">
        <v>12</v>
      </c>
      <c r="G110" s="5" t="s">
        <v>13</v>
      </c>
      <c r="H110" s="3" t="s">
        <v>517</v>
      </c>
      <c r="I110" s="3" t="s">
        <v>518</v>
      </c>
      <c r="J110" s="3">
        <v>3</v>
      </c>
      <c r="K110" s="6"/>
    </row>
    <row r="111" spans="1:11" ht="12.75" x14ac:dyDescent="0.2">
      <c r="A111" s="4" t="s">
        <v>519</v>
      </c>
      <c r="B111" s="4" t="s">
        <v>18</v>
      </c>
      <c r="C111" s="24" t="s">
        <v>520</v>
      </c>
      <c r="D111" s="4" t="s">
        <v>748</v>
      </c>
      <c r="E111" s="72" t="str">
        <f>HYPERLINK("https://www.google.com/maps?q=-33.89887688,-60.5717726", "Ver mapa")</f>
        <v>Ver mapa</v>
      </c>
      <c r="F111" s="4" t="s">
        <v>521</v>
      </c>
      <c r="G111" s="5" t="s">
        <v>13</v>
      </c>
      <c r="H111" s="3" t="s">
        <v>522</v>
      </c>
      <c r="I111" s="3" t="s">
        <v>523</v>
      </c>
      <c r="J111" s="3">
        <v>7</v>
      </c>
      <c r="K111" s="6"/>
    </row>
    <row r="112" spans="1:11" ht="12.75" x14ac:dyDescent="0.2">
      <c r="A112" s="3" t="s">
        <v>524</v>
      </c>
      <c r="B112" s="3" t="s">
        <v>18</v>
      </c>
      <c r="C112" s="3" t="s">
        <v>525</v>
      </c>
      <c r="D112" s="3" t="s">
        <v>749</v>
      </c>
      <c r="E112" s="72" t="str">
        <f>HYPERLINK("https://www.google.com/maps?q=-34.0392666,-60.6394166", "Ver mapa")</f>
        <v>Ver mapa</v>
      </c>
      <c r="F112" s="3" t="s">
        <v>12</v>
      </c>
      <c r="G112" s="5" t="s">
        <v>13</v>
      </c>
      <c r="H112" s="3" t="s">
        <v>526</v>
      </c>
      <c r="I112" s="3" t="s">
        <v>527</v>
      </c>
      <c r="J112" s="3">
        <v>2</v>
      </c>
      <c r="K112" s="6"/>
    </row>
    <row r="113" spans="1:11" ht="12.75" x14ac:dyDescent="0.2">
      <c r="A113" s="3"/>
      <c r="B113" s="3"/>
      <c r="C113" s="3"/>
      <c r="D113" s="3"/>
      <c r="E113" s="81"/>
      <c r="F113" s="3"/>
      <c r="G113" s="5"/>
      <c r="H113" s="3"/>
      <c r="I113" s="3"/>
      <c r="J113" s="3"/>
      <c r="K113" s="6"/>
    </row>
    <row r="114" spans="1:11" ht="12.75" x14ac:dyDescent="0.2">
      <c r="A114" s="4" t="s">
        <v>528</v>
      </c>
      <c r="B114" s="3" t="s">
        <v>18</v>
      </c>
      <c r="C114" s="3" t="s">
        <v>529</v>
      </c>
      <c r="D114" s="3" t="s">
        <v>750</v>
      </c>
      <c r="E114" s="72" t="str">
        <f>HYPERLINK("https://www.google.com/maps?q=-33.848938,-60.685963", "Ver mapa")</f>
        <v>Ver mapa</v>
      </c>
      <c r="F114" s="3" t="s">
        <v>530</v>
      </c>
      <c r="G114" s="5" t="s">
        <v>13</v>
      </c>
      <c r="H114" s="3" t="s">
        <v>531</v>
      </c>
      <c r="I114" s="3" t="s">
        <v>532</v>
      </c>
      <c r="J114" s="3">
        <v>1</v>
      </c>
      <c r="K114" s="6"/>
    </row>
    <row r="115" spans="1:11" ht="12.75" x14ac:dyDescent="0.2">
      <c r="A115" s="4" t="s">
        <v>533</v>
      </c>
      <c r="B115" s="3" t="s">
        <v>18</v>
      </c>
      <c r="C115" s="3" t="s">
        <v>534</v>
      </c>
      <c r="D115" s="3" t="s">
        <v>751</v>
      </c>
      <c r="E115" s="72" t="str">
        <f>HYPERLINK("https://www.google.com/maps?q=-33.9202278,-60.5583639", "Ver mapa")</f>
        <v>Ver mapa</v>
      </c>
      <c r="F115" s="3" t="s">
        <v>535</v>
      </c>
      <c r="G115" s="5" t="s">
        <v>13</v>
      </c>
      <c r="H115" s="3" t="s">
        <v>536</v>
      </c>
      <c r="I115" s="3" t="s">
        <v>537</v>
      </c>
      <c r="J115" s="3"/>
      <c r="K115" s="6"/>
    </row>
    <row r="116" spans="1:11" ht="12.75" x14ac:dyDescent="0.2">
      <c r="A116" s="4" t="s">
        <v>538</v>
      </c>
      <c r="B116" s="24" t="s">
        <v>18</v>
      </c>
      <c r="C116" s="24" t="s">
        <v>539</v>
      </c>
      <c r="D116" s="4" t="s">
        <v>752</v>
      </c>
      <c r="E116" s="72" t="str">
        <f>HYPERLINK("https://www.google.com/maps?q=-34.042186,-60.639846", "Ver mapa")</f>
        <v>Ver mapa</v>
      </c>
      <c r="F116" s="4" t="s">
        <v>12</v>
      </c>
      <c r="G116" s="5" t="s">
        <v>13</v>
      </c>
      <c r="H116" s="3" t="s">
        <v>540</v>
      </c>
      <c r="I116" s="8" t="s">
        <v>541</v>
      </c>
      <c r="J116" s="3">
        <v>2</v>
      </c>
      <c r="K116" s="6"/>
    </row>
    <row r="117" spans="1:11" ht="12.75" x14ac:dyDescent="0.2">
      <c r="A117" s="4" t="s">
        <v>542</v>
      </c>
      <c r="B117" s="24" t="s">
        <v>18</v>
      </c>
      <c r="C117" s="24" t="s">
        <v>543</v>
      </c>
      <c r="D117" s="4" t="s">
        <v>753</v>
      </c>
      <c r="E117" s="72" t="str">
        <f>HYPERLINK("https://www.google.com/maps?q=-34.026304,-60.652689", "Ver mapa")</f>
        <v>Ver mapa</v>
      </c>
      <c r="F117" s="4" t="s">
        <v>544</v>
      </c>
      <c r="G117" s="5" t="s">
        <v>13</v>
      </c>
      <c r="H117" s="3" t="s">
        <v>545</v>
      </c>
      <c r="I117" s="8" t="s">
        <v>546</v>
      </c>
      <c r="J117" s="3">
        <v>2</v>
      </c>
      <c r="K117" s="6" t="s">
        <v>547</v>
      </c>
    </row>
    <row r="118" spans="1:11" ht="12.75" x14ac:dyDescent="0.2">
      <c r="A118" s="3" t="s">
        <v>548</v>
      </c>
      <c r="B118" s="3" t="s">
        <v>18</v>
      </c>
      <c r="C118" s="3" t="s">
        <v>429</v>
      </c>
      <c r="D118" s="3" t="s">
        <v>754</v>
      </c>
      <c r="E118" s="72" t="str">
        <f>HYPERLINK("https://www.google.com/maps?q=-33.8211927,-60.7765603", "Ver mapa")</f>
        <v>Ver mapa</v>
      </c>
      <c r="F118" s="3" t="s">
        <v>12</v>
      </c>
      <c r="G118" s="5" t="s">
        <v>13</v>
      </c>
      <c r="H118" s="3" t="s">
        <v>549</v>
      </c>
      <c r="I118" s="8" t="s">
        <v>550</v>
      </c>
      <c r="J118" s="3">
        <v>1</v>
      </c>
      <c r="K118" s="6"/>
    </row>
    <row r="119" spans="1:11" ht="12.75" x14ac:dyDescent="0.2">
      <c r="A119" s="3" t="s">
        <v>551</v>
      </c>
      <c r="B119" s="3" t="s">
        <v>18</v>
      </c>
      <c r="C119" s="3" t="s">
        <v>552</v>
      </c>
      <c r="D119" s="3" t="s">
        <v>755</v>
      </c>
      <c r="E119" s="72" t="str">
        <f>HYPERLINK("https://www.google.com/maps?q=-34.03191,-60.66141", "Ver mapa")</f>
        <v>Ver mapa</v>
      </c>
      <c r="F119" s="3" t="s">
        <v>12</v>
      </c>
      <c r="G119" s="5" t="s">
        <v>13</v>
      </c>
      <c r="H119" s="3" t="s">
        <v>553</v>
      </c>
      <c r="I119" s="8" t="s">
        <v>554</v>
      </c>
      <c r="J119" s="3">
        <v>3</v>
      </c>
      <c r="K119" s="6"/>
    </row>
    <row r="120" spans="1:11" ht="12.75" x14ac:dyDescent="0.2">
      <c r="A120" s="3" t="s">
        <v>555</v>
      </c>
      <c r="B120" s="3" t="s">
        <v>18</v>
      </c>
      <c r="C120" s="3" t="s">
        <v>556</v>
      </c>
      <c r="D120" s="3" t="s">
        <v>756</v>
      </c>
      <c r="E120" s="72" t="str">
        <f>HYPERLINK("https://www.google.com/maps?q=-33.8878916,-60.4974174", "Ver mapa")</f>
        <v>Ver mapa</v>
      </c>
      <c r="F120" s="3" t="s">
        <v>557</v>
      </c>
      <c r="G120" s="5" t="s">
        <v>13</v>
      </c>
      <c r="H120" s="3" t="s">
        <v>558</v>
      </c>
      <c r="I120" s="8" t="s">
        <v>559</v>
      </c>
      <c r="J120" s="3">
        <v>5</v>
      </c>
      <c r="K120" s="6"/>
    </row>
    <row r="121" spans="1:11" ht="12.75" x14ac:dyDescent="0.2">
      <c r="A121" s="3" t="s">
        <v>560</v>
      </c>
      <c r="B121" s="3" t="s">
        <v>18</v>
      </c>
      <c r="C121" s="3" t="s">
        <v>561</v>
      </c>
      <c r="D121" s="3" t="s">
        <v>757</v>
      </c>
      <c r="E121" s="72" t="str">
        <f>HYPERLINK("https://www.google.com/maps?q=-33.9913802,-60.6285551", "Ver mapa")</f>
        <v>Ver mapa</v>
      </c>
      <c r="F121" s="3" t="s">
        <v>12</v>
      </c>
      <c r="G121" s="5" t="s">
        <v>13</v>
      </c>
      <c r="H121" s="3" t="s">
        <v>562</v>
      </c>
      <c r="I121" s="8" t="s">
        <v>563</v>
      </c>
      <c r="J121" s="3">
        <v>2</v>
      </c>
      <c r="K121" s="6"/>
    </row>
    <row r="122" spans="1:11" ht="12.75" x14ac:dyDescent="0.2">
      <c r="A122" s="3" t="s">
        <v>564</v>
      </c>
      <c r="B122" s="3" t="s">
        <v>18</v>
      </c>
      <c r="C122" s="3" t="s">
        <v>565</v>
      </c>
      <c r="D122" s="3" t="s">
        <v>758</v>
      </c>
      <c r="E122" s="72" t="str">
        <f>HYPERLINK("https://www.google.com/maps?q=-33.97688,-60.53268333", "Ver mapa")</f>
        <v>Ver mapa</v>
      </c>
      <c r="F122" s="3" t="s">
        <v>566</v>
      </c>
      <c r="G122" s="5" t="s">
        <v>13</v>
      </c>
      <c r="H122" s="3" t="s">
        <v>567</v>
      </c>
      <c r="I122" s="3" t="s">
        <v>568</v>
      </c>
      <c r="J122" s="3">
        <v>4</v>
      </c>
      <c r="K122" s="6"/>
    </row>
    <row r="123" spans="1:11" ht="12.75" x14ac:dyDescent="0.2">
      <c r="A123" s="10" t="s">
        <v>569</v>
      </c>
      <c r="B123" s="10" t="s">
        <v>18</v>
      </c>
      <c r="C123" s="10" t="s">
        <v>570</v>
      </c>
      <c r="D123" s="10" t="s">
        <v>759</v>
      </c>
      <c r="E123" s="74" t="str">
        <f>HYPERLINK("https://www.google.com/maps?q=-33.9178105,-60.5985934", "Ver mapa")</f>
        <v>Ver mapa</v>
      </c>
      <c r="F123" s="10" t="s">
        <v>571</v>
      </c>
      <c r="G123" s="12" t="s">
        <v>13</v>
      </c>
      <c r="H123" s="10" t="s">
        <v>572</v>
      </c>
      <c r="I123" s="10" t="s">
        <v>573</v>
      </c>
      <c r="J123" s="10">
        <v>7</v>
      </c>
      <c r="K123" s="41"/>
    </row>
    <row r="124" spans="1:11" ht="12.75" x14ac:dyDescent="0.2">
      <c r="A124" s="42" t="s">
        <v>574</v>
      </c>
      <c r="B124" s="43" t="s">
        <v>18</v>
      </c>
      <c r="C124" s="43" t="s">
        <v>575</v>
      </c>
      <c r="D124" s="44" t="s">
        <v>686</v>
      </c>
      <c r="E124" s="82" t="s">
        <v>805</v>
      </c>
      <c r="F124" s="42" t="s">
        <v>576</v>
      </c>
      <c r="G124" s="20" t="s">
        <v>13</v>
      </c>
      <c r="H124" s="19" t="s">
        <v>577</v>
      </c>
      <c r="I124" s="21" t="s">
        <v>578</v>
      </c>
      <c r="J124" s="19">
        <v>7</v>
      </c>
      <c r="K124" s="45"/>
    </row>
    <row r="125" spans="1:11" ht="12.75" x14ac:dyDescent="0.2">
      <c r="A125" s="4" t="s">
        <v>579</v>
      </c>
      <c r="B125" s="43" t="s">
        <v>10</v>
      </c>
      <c r="C125" s="43" t="s">
        <v>580</v>
      </c>
      <c r="D125" s="44" t="s">
        <v>760</v>
      </c>
      <c r="E125" s="82" t="s">
        <v>806</v>
      </c>
      <c r="F125" s="42" t="s">
        <v>581</v>
      </c>
      <c r="G125" s="20" t="s">
        <v>13</v>
      </c>
      <c r="H125" s="19" t="s">
        <v>198</v>
      </c>
      <c r="I125" s="21" t="s">
        <v>198</v>
      </c>
      <c r="J125" s="19">
        <v>7</v>
      </c>
      <c r="K125" s="22"/>
    </row>
    <row r="126" spans="1:11" ht="12.75" x14ac:dyDescent="0.2">
      <c r="A126" s="4" t="s">
        <v>582</v>
      </c>
      <c r="B126" s="24" t="s">
        <v>18</v>
      </c>
      <c r="C126" s="43" t="s">
        <v>583</v>
      </c>
      <c r="D126" s="44" t="s">
        <v>761</v>
      </c>
      <c r="E126" s="82" t="s">
        <v>807</v>
      </c>
      <c r="F126" s="42" t="s">
        <v>584</v>
      </c>
      <c r="G126" s="20" t="s">
        <v>13</v>
      </c>
      <c r="H126" s="19" t="s">
        <v>585</v>
      </c>
      <c r="I126" s="19" t="s">
        <v>586</v>
      </c>
      <c r="J126" s="19">
        <v>7</v>
      </c>
      <c r="K126" s="22"/>
    </row>
    <row r="127" spans="1:11" ht="12.75" x14ac:dyDescent="0.2">
      <c r="A127" s="4" t="s">
        <v>587</v>
      </c>
      <c r="B127" s="24" t="s">
        <v>18</v>
      </c>
      <c r="C127" s="43" t="s">
        <v>588</v>
      </c>
      <c r="D127" s="44" t="s">
        <v>762</v>
      </c>
      <c r="E127" s="82" t="s">
        <v>808</v>
      </c>
      <c r="F127" s="42" t="s">
        <v>589</v>
      </c>
      <c r="G127" s="5" t="s">
        <v>13</v>
      </c>
      <c r="H127" s="19" t="s">
        <v>590</v>
      </c>
      <c r="I127" s="19" t="s">
        <v>591</v>
      </c>
      <c r="J127" s="19">
        <v>7</v>
      </c>
      <c r="K127" s="22"/>
    </row>
    <row r="128" spans="1:11" ht="12.75" x14ac:dyDescent="0.2">
      <c r="A128" s="4" t="s">
        <v>592</v>
      </c>
      <c r="B128" s="24" t="s">
        <v>18</v>
      </c>
      <c r="C128" s="24" t="s">
        <v>593</v>
      </c>
      <c r="D128" s="23" t="s">
        <v>763</v>
      </c>
      <c r="E128" s="77" t="s">
        <v>809</v>
      </c>
      <c r="F128" s="4" t="s">
        <v>594</v>
      </c>
      <c r="G128" s="5" t="s">
        <v>13</v>
      </c>
      <c r="H128" s="3" t="s">
        <v>595</v>
      </c>
      <c r="I128" s="8" t="s">
        <v>596</v>
      </c>
      <c r="J128" s="3">
        <v>7</v>
      </c>
      <c r="K128" s="6"/>
    </row>
    <row r="129" spans="1:11" ht="12.75" x14ac:dyDescent="0.2">
      <c r="A129" s="4" t="s">
        <v>597</v>
      </c>
      <c r="B129" s="24" t="s">
        <v>18</v>
      </c>
      <c r="C129" s="24" t="s">
        <v>598</v>
      </c>
      <c r="D129" s="4" t="s">
        <v>764</v>
      </c>
      <c r="E129" s="72" t="str">
        <f>HYPERLINK("https://www.google.com/maps?q=-33.895867,-60.5742325", "Ver mapa")</f>
        <v>Ver mapa</v>
      </c>
      <c r="F129" s="4" t="s">
        <v>599</v>
      </c>
      <c r="G129" s="5" t="s">
        <v>13</v>
      </c>
      <c r="H129" s="3" t="s">
        <v>600</v>
      </c>
      <c r="I129" s="8" t="s">
        <v>601</v>
      </c>
      <c r="J129" s="3">
        <v>7</v>
      </c>
      <c r="K129" s="6"/>
    </row>
    <row r="130" spans="1:11" ht="12.75" x14ac:dyDescent="0.2">
      <c r="A130" s="4" t="s">
        <v>602</v>
      </c>
      <c r="B130" s="24" t="s">
        <v>18</v>
      </c>
      <c r="C130" s="24" t="s">
        <v>603</v>
      </c>
      <c r="D130" s="4" t="s">
        <v>765</v>
      </c>
      <c r="E130" s="72" t="str">
        <f>HYPERLINK("https://www.google.com/maps?q=-33.8933958,-60.5715724", "Ver mapa")</f>
        <v>Ver mapa</v>
      </c>
      <c r="F130" s="4" t="s">
        <v>604</v>
      </c>
      <c r="G130" s="5" t="s">
        <v>13</v>
      </c>
      <c r="H130" s="3" t="s">
        <v>605</v>
      </c>
      <c r="I130" s="3" t="s">
        <v>606</v>
      </c>
      <c r="J130" s="3">
        <v>7</v>
      </c>
      <c r="K130" s="6"/>
    </row>
    <row r="131" spans="1:11" ht="15.75" customHeight="1" x14ac:dyDescent="0.2">
      <c r="E131" s="83"/>
    </row>
    <row r="132" spans="1:11" ht="12.75" x14ac:dyDescent="0.2">
      <c r="A132" s="46" t="s">
        <v>607</v>
      </c>
      <c r="B132" s="47" t="s">
        <v>608</v>
      </c>
      <c r="C132" s="47" t="s">
        <v>609</v>
      </c>
      <c r="D132" s="68" t="s">
        <v>766</v>
      </c>
      <c r="E132" s="84"/>
      <c r="F132" s="69"/>
      <c r="G132" s="69"/>
      <c r="H132" s="70"/>
    </row>
    <row r="133" spans="1:11" ht="12.75" x14ac:dyDescent="0.2">
      <c r="A133" s="46" t="s">
        <v>610</v>
      </c>
      <c r="B133" s="47" t="s">
        <v>608</v>
      </c>
      <c r="C133" s="47" t="s">
        <v>611</v>
      </c>
      <c r="D133" s="68" t="s">
        <v>767</v>
      </c>
      <c r="E133" s="84"/>
      <c r="F133" s="69"/>
      <c r="G133" s="69"/>
      <c r="H133" s="70"/>
    </row>
    <row r="134" spans="1:11" ht="12.75" x14ac:dyDescent="0.2">
      <c r="A134" s="46" t="s">
        <v>612</v>
      </c>
      <c r="B134" s="47" t="s">
        <v>608</v>
      </c>
      <c r="C134" s="47" t="s">
        <v>613</v>
      </c>
      <c r="D134" s="68" t="s">
        <v>768</v>
      </c>
      <c r="E134" s="84"/>
      <c r="F134" s="69"/>
      <c r="G134" s="69"/>
      <c r="H134" s="70"/>
      <c r="K134" s="48"/>
    </row>
    <row r="135" spans="1:11" ht="12.75" x14ac:dyDescent="0.2">
      <c r="A135" s="46" t="s">
        <v>614</v>
      </c>
      <c r="B135" s="47" t="s">
        <v>608</v>
      </c>
      <c r="C135" s="47" t="s">
        <v>615</v>
      </c>
      <c r="D135" s="68" t="s">
        <v>769</v>
      </c>
      <c r="E135" s="84"/>
      <c r="F135" s="69"/>
      <c r="G135" s="69"/>
      <c r="H135" s="70"/>
    </row>
    <row r="136" spans="1:11" ht="12.75" x14ac:dyDescent="0.2">
      <c r="A136" s="46" t="s">
        <v>616</v>
      </c>
      <c r="B136" s="47" t="s">
        <v>608</v>
      </c>
      <c r="C136" s="47" t="s">
        <v>617</v>
      </c>
      <c r="D136" s="68" t="s">
        <v>770</v>
      </c>
      <c r="E136" s="84"/>
      <c r="F136" s="69"/>
      <c r="G136" s="69"/>
      <c r="H136" s="70"/>
    </row>
    <row r="137" spans="1:11" ht="12.75" x14ac:dyDescent="0.2">
      <c r="A137" s="46" t="s">
        <v>618</v>
      </c>
      <c r="B137" s="47" t="s">
        <v>608</v>
      </c>
      <c r="C137" s="47" t="s">
        <v>619</v>
      </c>
      <c r="D137" s="68" t="s">
        <v>771</v>
      </c>
      <c r="E137" s="84"/>
      <c r="F137" s="69"/>
      <c r="G137" s="69"/>
      <c r="H137" s="70"/>
    </row>
    <row r="138" spans="1:11" ht="12.75" x14ac:dyDescent="0.2">
      <c r="A138" s="46" t="s">
        <v>620</v>
      </c>
      <c r="B138" s="47" t="s">
        <v>608</v>
      </c>
      <c r="C138" s="47" t="s">
        <v>621</v>
      </c>
      <c r="D138" s="68" t="s">
        <v>772</v>
      </c>
      <c r="E138" s="84"/>
      <c r="F138" s="69"/>
      <c r="G138" s="69"/>
      <c r="H138" s="70"/>
    </row>
    <row r="139" spans="1:11" ht="12.75" x14ac:dyDescent="0.2">
      <c r="A139" s="46" t="s">
        <v>622</v>
      </c>
      <c r="B139" s="47" t="s">
        <v>608</v>
      </c>
      <c r="C139" s="47" t="s">
        <v>623</v>
      </c>
      <c r="D139" s="68" t="s">
        <v>773</v>
      </c>
      <c r="E139" s="84"/>
      <c r="F139" s="69"/>
      <c r="G139" s="69"/>
      <c r="H139" s="70"/>
    </row>
    <row r="140" spans="1:11" ht="12.75" x14ac:dyDescent="0.2">
      <c r="A140" s="46" t="s">
        <v>624</v>
      </c>
      <c r="B140" s="47" t="s">
        <v>608</v>
      </c>
      <c r="C140" s="47" t="s">
        <v>611</v>
      </c>
      <c r="D140" s="68" t="s">
        <v>774</v>
      </c>
      <c r="E140" s="84"/>
      <c r="F140" s="69"/>
      <c r="G140" s="69"/>
      <c r="H140" s="70"/>
    </row>
    <row r="141" spans="1:11" ht="12.75" x14ac:dyDescent="0.2">
      <c r="A141" s="46" t="s">
        <v>625</v>
      </c>
      <c r="B141" s="47" t="s">
        <v>608</v>
      </c>
      <c r="C141" s="47" t="s">
        <v>623</v>
      </c>
      <c r="D141" s="68" t="s">
        <v>775</v>
      </c>
      <c r="E141" s="84"/>
      <c r="F141" s="69"/>
      <c r="G141" s="69"/>
      <c r="H141" s="70"/>
    </row>
    <row r="142" spans="1:11" ht="12.75" x14ac:dyDescent="0.2">
      <c r="A142" s="46" t="s">
        <v>626</v>
      </c>
      <c r="B142" s="47" t="s">
        <v>608</v>
      </c>
      <c r="C142" s="47" t="s">
        <v>623</v>
      </c>
      <c r="D142" s="68" t="s">
        <v>776</v>
      </c>
      <c r="E142" s="84"/>
      <c r="F142" s="69"/>
      <c r="G142" s="69"/>
      <c r="H142" s="70"/>
    </row>
    <row r="143" spans="1:11" ht="12.75" x14ac:dyDescent="0.2">
      <c r="A143" s="46" t="s">
        <v>627</v>
      </c>
      <c r="B143" s="47" t="s">
        <v>608</v>
      </c>
      <c r="C143" s="47" t="s">
        <v>623</v>
      </c>
      <c r="D143" s="68" t="s">
        <v>777</v>
      </c>
      <c r="E143" s="84"/>
      <c r="F143" s="69"/>
      <c r="G143" s="69"/>
      <c r="H143" s="70"/>
    </row>
    <row r="144" spans="1:11" ht="12.75" x14ac:dyDescent="0.2">
      <c r="C144" s="49" t="s">
        <v>628</v>
      </c>
      <c r="E144" s="83"/>
    </row>
    <row r="145" spans="4:5" ht="12.75" x14ac:dyDescent="0.2">
      <c r="D145" s="50"/>
      <c r="E145" s="85"/>
    </row>
    <row r="146" spans="4:5" ht="15.75" customHeight="1" x14ac:dyDescent="0.2">
      <c r="E146" s="83"/>
    </row>
    <row r="147" spans="4:5" ht="12.75" x14ac:dyDescent="0.2">
      <c r="D147" s="51" t="s">
        <v>778</v>
      </c>
      <c r="E147" s="86" t="str">
        <f>HYPERLINK("https://www.google.com/maps?q=DIGA,12", "Ver mapa")</f>
        <v>Ver mapa</v>
      </c>
    </row>
    <row r="148" spans="4:5" ht="12.75" x14ac:dyDescent="0.2">
      <c r="D148" s="52" t="s">
        <v>779</v>
      </c>
      <c r="E148" s="86" t="str">
        <f>HYPERLINK("https://www.google.com/maps?q=DIWA,1", "Ver mapa")</f>
        <v>Ver mapa</v>
      </c>
    </row>
    <row r="149" spans="4:5" ht="12.75" x14ac:dyDescent="0.2">
      <c r="D149" s="53" t="s">
        <v>780</v>
      </c>
      <c r="E149" s="86" t="str">
        <f>HYPERLINK("https://www.google.com/maps?q=DMGA,29", "Ver mapa")</f>
        <v>Ver mapa</v>
      </c>
    </row>
    <row r="150" spans="4:5" ht="12.75" x14ac:dyDescent="0.2">
      <c r="D150" s="54" t="s">
        <v>781</v>
      </c>
      <c r="E150" s="86" t="str">
        <f>HYPERLINK("https://www.google.com/maps?q=DMPA,39", "Ver mapa")</f>
        <v>Ver mapa</v>
      </c>
    </row>
    <row r="151" spans="4:5" ht="12.75" x14ac:dyDescent="0.2">
      <c r="D151" s="55" t="s">
        <v>782</v>
      </c>
      <c r="E151" s="86" t="str">
        <f>HYPERLINK("https://www.google.com/maps?q=DMWA,4", "Ver mapa")</f>
        <v>Ver mapa</v>
      </c>
    </row>
    <row r="152" spans="4:5" ht="12.75" x14ac:dyDescent="0.2">
      <c r="D152" s="56" t="s">
        <v>783</v>
      </c>
      <c r="E152" s="86" t="str">
        <f>HYPERLINK("https://www.google.com/maps?q=DTGA,46", "Ver mapa")</f>
        <v>Ver mapa</v>
      </c>
    </row>
    <row r="153" spans="4:5" ht="12.75" x14ac:dyDescent="0.2">
      <c r="D153" s="57" t="s">
        <v>784</v>
      </c>
      <c r="E153" s="86" t="str">
        <f>HYPERLINK("https://www.google.com/maps?q=DTPA,7", "Ver mapa")</f>
        <v>Ver mapa</v>
      </c>
    </row>
    <row r="154" spans="4:5" ht="15.75" customHeight="1" x14ac:dyDescent="0.2">
      <c r="E154" s="83"/>
    </row>
    <row r="155" spans="4:5" ht="12.75" x14ac:dyDescent="0.2">
      <c r="E155" s="87"/>
    </row>
    <row r="156" spans="4:5" ht="15.75" customHeight="1" x14ac:dyDescent="0.2">
      <c r="E156" s="83"/>
    </row>
    <row r="157" spans="4:5" ht="12.75" x14ac:dyDescent="0.2">
      <c r="D157" s="58" t="s">
        <v>785</v>
      </c>
      <c r="E157" s="86" t="str">
        <f>HYPERLINK("https://www.google.com/maps?q=LECTURA ANORMAL,9", "Ver mapa")</f>
        <v>Ver mapa</v>
      </c>
    </row>
    <row r="158" spans="4:5" ht="12.75" x14ac:dyDescent="0.2">
      <c r="D158" s="59" t="s">
        <v>786</v>
      </c>
      <c r="E158" s="86" t="str">
        <f>HYPERLINK("https://www.google.com/maps?q=S/COMUNIC.,129", "Ver mapa")</f>
        <v>Ver mapa</v>
      </c>
    </row>
    <row r="159" spans="4:5" ht="15.75" customHeight="1" x14ac:dyDescent="0.2">
      <c r="E159" s="83"/>
    </row>
    <row r="160" spans="4:5" ht="15.75" customHeight="1" x14ac:dyDescent="0.2">
      <c r="E160" s="83"/>
    </row>
    <row r="161" spans="4:5" ht="15.75" customHeight="1" x14ac:dyDescent="0.2">
      <c r="E161" s="83"/>
    </row>
    <row r="162" spans="4:5" ht="12.75" x14ac:dyDescent="0.2">
      <c r="D162" s="50" t="s">
        <v>787</v>
      </c>
      <c r="E162" s="88" t="str">
        <f>HYPERLINK("https://www.google.com/maps?q=TOTAL:,138", "Ver mapa")</f>
        <v>Ver mapa</v>
      </c>
    </row>
    <row r="163" spans="4:5" ht="15.75" customHeight="1" x14ac:dyDescent="0.2">
      <c r="E163" s="83"/>
    </row>
    <row r="164" spans="4:5" ht="15.75" customHeight="1" x14ac:dyDescent="0.2">
      <c r="E164" s="83"/>
    </row>
    <row r="165" spans="4:5" ht="15.75" customHeight="1" x14ac:dyDescent="0.2">
      <c r="E165" s="83"/>
    </row>
    <row r="166" spans="4:5" ht="15.75" customHeight="1" x14ac:dyDescent="0.2">
      <c r="E166" s="83"/>
    </row>
    <row r="167" spans="4:5" ht="12.75" x14ac:dyDescent="0.2">
      <c r="D167" s="60" t="s">
        <v>788</v>
      </c>
      <c r="E167" s="86" t="str">
        <f>HYPERLINK("https://www.google.com/maps?q=Normal,1131", "Ver mapa")</f>
        <v>Ver mapa</v>
      </c>
    </row>
    <row r="168" spans="4:5" ht="12.75" x14ac:dyDescent="0.2">
      <c r="D168" s="61" t="s">
        <v>789</v>
      </c>
      <c r="E168" s="86" t="str">
        <f>HYPERLINK("https://www.google.com/maps?q=Alarma,138", "Ver mapa")</f>
        <v>Ver mapa</v>
      </c>
    </row>
    <row r="169" spans="4:5" ht="12.75" x14ac:dyDescent="0.2">
      <c r="D169" s="62" t="s">
        <v>790</v>
      </c>
      <c r="E169" s="86" t="str">
        <f>HYPERLINK("https://www.google.com/maps?q=Sin consumo,77", "Ver mapa")</f>
        <v>Ver mapa</v>
      </c>
    </row>
    <row r="170" spans="4:5" ht="12.75" x14ac:dyDescent="0.2">
      <c r="D170" s="63" t="s">
        <v>791</v>
      </c>
      <c r="E170" s="86" t="str">
        <f>HYPERLINK("https://www.google.com/maps?q=Activo s/sumin.,20", "Ver mapa")</f>
        <v>Ver mapa</v>
      </c>
    </row>
    <row r="171" spans="4:5" ht="12.75" x14ac:dyDescent="0.2">
      <c r="D171" s="64" t="s">
        <v>792</v>
      </c>
      <c r="E171" s="86" t="str">
        <f>HYPERLINK("https://www.google.com/maps?q=No instalado,247", "Ver mapa")</f>
        <v>Ver mapa</v>
      </c>
    </row>
    <row r="172" spans="4:5" ht="15.75" customHeight="1" x14ac:dyDescent="0.2">
      <c r="E172" s="83"/>
    </row>
    <row r="173" spans="4:5" ht="15.75" customHeight="1" x14ac:dyDescent="0.2">
      <c r="E173" s="83"/>
    </row>
    <row r="174" spans="4:5" ht="15.75" customHeight="1" x14ac:dyDescent="0.2">
      <c r="E174" s="83"/>
    </row>
    <row r="175" spans="4:5" ht="15.75" customHeight="1" x14ac:dyDescent="0.2">
      <c r="E175" s="83"/>
    </row>
    <row r="176" spans="4:5" ht="15.75" customHeight="1" x14ac:dyDescent="0.2">
      <c r="E176" s="83"/>
    </row>
    <row r="177" spans="1:5" ht="15.75" customHeight="1" x14ac:dyDescent="0.2">
      <c r="E177" s="83"/>
    </row>
    <row r="178" spans="1:5" ht="15.75" customHeight="1" x14ac:dyDescent="0.2">
      <c r="E178" s="83"/>
    </row>
    <row r="179" spans="1:5" ht="15.75" customHeight="1" x14ac:dyDescent="0.2">
      <c r="E179" s="83"/>
    </row>
    <row r="180" spans="1:5" ht="14.25" x14ac:dyDescent="0.2">
      <c r="A180" s="71" t="s">
        <v>629</v>
      </c>
      <c r="B180" s="69"/>
      <c r="C180" s="70"/>
      <c r="E180" s="83"/>
    </row>
    <row r="181" spans="1:5" ht="12.75" x14ac:dyDescent="0.2">
      <c r="A181" s="65" t="s">
        <v>630</v>
      </c>
      <c r="B181" s="65" t="s">
        <v>631</v>
      </c>
      <c r="C181" s="65" t="s">
        <v>632</v>
      </c>
      <c r="E181" s="83"/>
    </row>
    <row r="182" spans="1:5" ht="12.75" x14ac:dyDescent="0.2">
      <c r="A182" s="66">
        <v>5</v>
      </c>
      <c r="B182" s="66" t="s">
        <v>633</v>
      </c>
      <c r="C182" s="27"/>
      <c r="E182" s="83"/>
    </row>
    <row r="183" spans="1:5" ht="12.75" x14ac:dyDescent="0.2">
      <c r="A183" s="66">
        <v>6</v>
      </c>
      <c r="B183" s="66" t="s">
        <v>634</v>
      </c>
      <c r="C183" s="27"/>
      <c r="E183" s="83"/>
    </row>
    <row r="184" spans="1:5" ht="12.75" x14ac:dyDescent="0.2">
      <c r="A184" s="66">
        <v>5</v>
      </c>
      <c r="B184" s="66" t="s">
        <v>635</v>
      </c>
      <c r="C184" s="27"/>
      <c r="E184" s="83"/>
    </row>
    <row r="185" spans="1:5" ht="12.75" x14ac:dyDescent="0.2">
      <c r="A185" s="66">
        <v>2</v>
      </c>
      <c r="B185" s="66" t="s">
        <v>636</v>
      </c>
      <c r="C185" s="27" t="s">
        <v>637</v>
      </c>
      <c r="D185" s="67" t="s">
        <v>793</v>
      </c>
      <c r="E185" s="89" t="str">
        <f>HYPERLINK("https://www.google.com/maps?q=1 + en arreglo por Leo,", "Ver mapa")</f>
        <v>Ver mapa</v>
      </c>
    </row>
    <row r="186" spans="1:5" ht="12.75" x14ac:dyDescent="0.2">
      <c r="A186" s="66">
        <v>3</v>
      </c>
      <c r="B186" s="66" t="s">
        <v>638</v>
      </c>
      <c r="C186" s="27" t="s">
        <v>639</v>
      </c>
      <c r="E186" s="83"/>
    </row>
    <row r="187" spans="1:5" ht="12.75" x14ac:dyDescent="0.2">
      <c r="A187" s="66">
        <v>0</v>
      </c>
      <c r="B187" s="66" t="s">
        <v>640</v>
      </c>
      <c r="C187" s="27"/>
      <c r="E187" s="83"/>
    </row>
  </sheetData>
  <autoFilter ref="A1:AC653" xr:uid="{00000000-0009-0000-0000-000000000000}"/>
  <mergeCells count="13">
    <mergeCell ref="A180:C180"/>
    <mergeCell ref="D132:H132"/>
    <mergeCell ref="D133:H133"/>
    <mergeCell ref="D134:H134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3:H143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JPRodriguez</cp:lastModifiedBy>
  <dcterms:modified xsi:type="dcterms:W3CDTF">2026-06-12T12:36:41Z</dcterms:modified>
</cp:coreProperties>
</file>